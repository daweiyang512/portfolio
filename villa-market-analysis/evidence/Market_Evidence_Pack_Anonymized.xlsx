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92a153f42846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ME" sheetId="1" r:id="R9c06577b40a34cb0"/>
    <x:sheet xmlns:r="http://schemas.openxmlformats.org/officeDocument/2006/relationships" name="01_MARKET_STATS" sheetId="2" r:id="R6edd446076b64fa8"/>
    <x:sheet xmlns:r="http://schemas.openxmlformats.org/officeDocument/2006/relationships" name="02_C2_STRUCTURE" sheetId="3" r:id="R90f259801e2e4645"/>
    <x:sheet xmlns:r="http://schemas.openxmlformats.org/officeDocument/2006/relationships" name="03_PRICE_POSITION" sheetId="4" r:id="R9e9cc7a14b1c43e3"/>
    <x:sheet xmlns:r="http://schemas.openxmlformats.org/officeDocument/2006/relationships" name="04_UNIT_ECONOMICS" sheetId="5" r:id="Rec7dc39e41184b58"/>
    <x:sheet xmlns:r="http://schemas.openxmlformats.org/officeDocument/2006/relationships" name="05_LOCAL_COMPARABLES" sheetId="6" r:id="R6d823d326bea466c"/>
    <x:sheet xmlns:r="http://schemas.openxmlformats.org/officeDocument/2006/relationships" name="06_RENTAL_EVIDENCE" sheetId="7" r:id="Re5eebf67b1b046a7"/>
    <x:sheet xmlns:r="http://schemas.openxmlformats.org/officeDocument/2006/relationships" name="07_RENTAL_SEASONALITY" sheetId="8" r:id="R1a1e6413fdc345a9"/>
    <x:sheet xmlns:r="http://schemas.openxmlformats.org/officeDocument/2006/relationships" name="08_OPERATING_CASH" sheetId="9" r:id="Raeddc0939b8c4a28"/>
    <x:sheet xmlns:r="http://schemas.openxmlformats.org/officeDocument/2006/relationships" name="09_HOLD_SELL" sheetId="10" r:id="Rd352ba8abf1a44af"/>
    <x:sheet xmlns:r="http://schemas.openxmlformats.org/officeDocument/2006/relationships" name="10_TRACEABILITY" sheetId="11" r:id="R10ef84ac65d84b50"/>
    <x:sheet xmlns:r="http://schemas.openxmlformats.org/officeDocument/2006/relationships" name="11_RECONCILIATION_AUDIT" sheetId="12" r:id="Re7f9f1e0811c4198"/>
    <x:sheet xmlns:r="http://schemas.openxmlformats.org/officeDocument/2006/relationships" name="12_FINAL_CONTROL" sheetId="13" r:id="Rc60ec458802644eb"/>
    <x:sheet xmlns:r="http://schemas.openxmlformats.org/officeDocument/2006/relationships" name="13_FINAL_VALIDATION" sheetId="14" r:id="Rba0b99644a6047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164" formatCode="0.0%"/>
    <x:numFmt numFmtId="165" formatCode="0.000"/>
    <x:numFmt numFmtId="166" formatCode="€#,##0"/>
    <x:numFmt numFmtId="167" formatCode="0.0x"/>
    <x:numFmt numFmtId="200" formatCode="0.00x"/>
  </x:numFmts>
  <x:fonts count="5">
    <x:font>
      <x:sz val="11"/>
      <x:color theme="1"/>
      <x:name val="Calibri"/>
    </x:font>
    <x:font>
      <x:b/>
      <x:sz val="14"/>
      <x:color rgb="FFFFFFFF"/>
    </x:font>
    <x:font>
      <x:i/>
      <x:color rgb="FF667482"/>
    </x:font>
    <x:font>
      <x:b/>
      <x:color rgb="FF17365D"/>
    </x:font>
    <x:font>
      <x:b/>
      <x:color rgb="FFFFFFFF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4F7F9"/>
      </x:patternFill>
    </x:fill>
    <x:fill>
      <x:patternFill patternType="solid">
        <x:fgColor rgb="FFD9EAF7"/>
      </x:patternFill>
    </x:fill>
  </x:fills>
  <x:borders count="4">
    <x:border/>
    <x:border>
      <x:bottom style="thin">
        <x:color rgb="FFD9E2F3"/>
      </x:bottom>
    </x:border>
    <x:border>
      <x:bottom style="thin">
        <x:color rgb="FFD9E2F3"/>
      </x:bottom>
    </x:border>
    <x:border>
      <x:bottom style="thin">
        <x:color rgb="FFD9E2F3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4" fillId="2" borderId="1" xfId="0" applyAlignment="1">
      <x:alignment vertical="top" wrapText="1"/>
    </x:xf>
    <x:xf numFmtId="0" fontId="2" fillId="3" borderId="1" xfId="0" applyAlignment="1">
      <x:alignment vertical="top" wrapText="1"/>
    </x:xf>
    <x:xf numFmtId="0" fontId="0" fillId="0" borderId="1" xfId="0" applyAlignment="1">
      <x:alignment vertical="top" wrapText="1"/>
    </x:xf>
    <x:xf numFmtId="0" fontId="3" fillId="4" borderId="1" xfId="0" applyAlignment="1">
      <x:alignment vertical="top" wrapText="1"/>
    </x:xf>
    <x:xf numFmtId="164" fontId="0" fillId="0" borderId="1" xfId="0" applyAlignment="1">
      <x:alignment vertical="top" wrapText="1"/>
    </x:xf>
    <x:xf numFmtId="165" fontId="0" fillId="0" borderId="1" xfId="0" applyAlignment="1">
      <x:alignment vertical="top" wrapText="1"/>
    </x:xf>
    <x:xf numFmtId="166" fontId="0" fillId="0" borderId="1" xfId="0" applyAlignment="1">
      <x:alignment vertical="top" wrapText="1"/>
    </x:xf>
    <x:xf numFmtId="3" fontId="0" fillId="0" borderId="1" xfId="0" applyAlignment="1">
      <x:alignment vertical="top" wrapText="1"/>
    </x:xf>
    <x:xf numFmtId="167" fontId="0" fillId="0" borderId="1" xfId="0" applyAlignment="1">
      <x:alignment vertical="top" wrapText="1"/>
    </x:xf>
    <x:xf numFmtId="0" fontId="0" fillId="0" borderId="2" xfId="0" applyAlignment="1">
      <x:alignment vertical="top" wrapText="1"/>
    </x:xf>
    <x:xf numFmtId="0" fontId="0" fillId="0" borderId="0" xfId="0" applyAlignment="1">
      <x:alignment vertical="top" wrapText="1"/>
    </x:xf>
    <x:xf numFmtId="166" fontId="3" fillId="4" borderId="1" xfId="0" applyAlignment="1">
      <x:alignment vertical="top" wrapText="1"/>
    </x:xf>
    <x:xf numFmtId="166" fontId="0" fillId="0" borderId="0" xfId="0" applyAlignment="1">
      <x:alignment vertical="top" wrapText="1"/>
    </x:xf>
    <x:xf numFmtId="3" fontId="0" fillId="0" borderId="0" xfId="0" applyAlignment="1">
      <x:alignment vertical="top" wrapText="1"/>
    </x:xf>
    <x:xf numFmtId="0" fontId="3" fillId="4" borderId="0" xfId="0" applyAlignment="1">
      <x:alignment vertical="top" wrapText="1"/>
    </x:xf>
    <x:xf numFmtId="164" fontId="0" fillId="0" borderId="0" xfId="0" applyAlignment="1">
      <x:alignment vertical="top" wrapText="1"/>
    </x:xf>
    <x:xf numFmtId="167" fontId="0" fillId="0" borderId="0" xfId="0" applyAlignment="1">
      <x:alignment vertical="top" wrapText="1"/>
    </x:xf>
    <x:xf numFmtId="0" fontId="4" fillId="2" borderId="0" xfId="0" applyAlignment="1">
      <x:alignment vertical="top" wrapText="1"/>
    </x:xf>
    <x:xf numFmtId="0" fontId="4" fillId="2" borderId="3" xfId="0" applyAlignment="1">
      <x:alignment vertical="top" wrapText="1"/>
    </x:xf>
    <x:xf numFmtId="0" fontId="0" fillId="0" borderId="2" xfId="0"/>
    <x:xf numFmtId="0" fontId="2" fillId="3" borderId="3" xfId="0" applyAlignment="1">
      <x:alignment vertical="top" wrapText="1"/>
    </x:xf>
    <x:xf numFmtId="0" fontId="0" fillId="0" borderId="3" xfId="0" applyAlignment="1">
      <x:alignment vertical="top" wrapText="1"/>
    </x:xf>
    <x:xf numFmtId="164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773a55f7594355" /><Relationship Type="http://schemas.openxmlformats.org/officeDocument/2006/relationships/theme" Target="/xl/theme/theme1.xml" Id="R4f22c038646745c3" /><Relationship Type="http://schemas.openxmlformats.org/officeDocument/2006/relationships/sharedStrings" Target="/xl/sharedStrings.xml" Id="Rdfce04e8e61849b2" /><Relationship Type="http://schemas.openxmlformats.org/officeDocument/2006/relationships/worksheet" Target="/xl/worksheets/sheet1.xml" Id="R9c06577b40a34cb0" /><Relationship Type="http://schemas.openxmlformats.org/officeDocument/2006/relationships/worksheet" Target="/xl/worksheets/sheet2.xml" Id="R6edd446076b64fa8" /><Relationship Type="http://schemas.openxmlformats.org/officeDocument/2006/relationships/worksheet" Target="/xl/worksheets/sheet3.xml" Id="R90f259801e2e4645" /><Relationship Type="http://schemas.openxmlformats.org/officeDocument/2006/relationships/worksheet" Target="/xl/worksheets/sheet4.xml" Id="R9e9cc7a14b1c43e3" /><Relationship Type="http://schemas.openxmlformats.org/officeDocument/2006/relationships/worksheet" Target="/xl/worksheets/sheet5.xml" Id="Rec7dc39e41184b58" /><Relationship Type="http://schemas.openxmlformats.org/officeDocument/2006/relationships/worksheet" Target="/xl/worksheets/sheet6.xml" Id="R6d823d326bea466c" /><Relationship Type="http://schemas.openxmlformats.org/officeDocument/2006/relationships/worksheet" Target="/xl/worksheets/sheet7.xml" Id="Re5eebf67b1b046a7" /><Relationship Type="http://schemas.openxmlformats.org/officeDocument/2006/relationships/worksheet" Target="/xl/worksheets/sheet8.xml" Id="R1a1e6413fdc345a9" /><Relationship Type="http://schemas.openxmlformats.org/officeDocument/2006/relationships/worksheet" Target="/xl/worksheets/sheet9.xml" Id="Raeddc0939b8c4a28" /><Relationship Type="http://schemas.openxmlformats.org/officeDocument/2006/relationships/worksheet" Target="/xl/worksheets/sheet10.xml" Id="Rd352ba8abf1a44af" /><Relationship Type="http://schemas.openxmlformats.org/officeDocument/2006/relationships/worksheet" Target="/xl/worksheets/sheet11.xml" Id="R10ef84ac65d84b50" /><Relationship Type="http://schemas.openxmlformats.org/officeDocument/2006/relationships/worksheet" Target="/xl/worksheets/sheet12.xml" Id="Re7f9f1e0811c4198" /><Relationship Type="http://schemas.openxmlformats.org/officeDocument/2006/relationships/worksheet" Target="/xl/worksheets/sheet13.xml" Id="Rc60ec458802644eb" /><Relationship Type="http://schemas.openxmlformats.org/officeDocument/2006/relationships/worksheet" Target="/xl/worksheets/sheet14.xml" Id="Rba0b99644a60476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baseColWidth="8" defaultRowHeight="15"/>
  <x:cols>
    <x:col min="1" max="1" width="24" customWidth="1"/>
    <x:col min="2" max="2" width="28" customWidth="1"/>
    <x:col min="3" max="3" width="34" customWidth="1"/>
    <x:col min="4" max="4" width="50" customWidth="1"/>
    <x:col min="5" max="5" width="50" customWidth="1"/>
    <x:col min="6" max="6" width="24" customWidth="1"/>
  </x:cols>
  <x:sheetData>
    <x:row r="1">
      <x:c r="A1" s="19" t="str">
        <x:v>Residential Market Evidence Pack — Subject Villa</x:v>
      </x:c>
      <x:c r="B1" s="20" t="n"/>
      <x:c r="C1" s="20" t="n"/>
      <x:c r="D1" s="20" t="n"/>
      <x:c r="E1" s="20" t="n"/>
      <x:c r="F1" s="20" t="n"/>
    </x:row>
    <x:row r="2">
      <x:c r="A2" s="21" t="inlineStr">
        <x:is>
          <x:t xml:space="preserve">Tables below are extracted or derived from the current market, local-comparison and investment workbooks.</x:t>
        </x:is>
      </x:c>
      <x:c r="B2" s="20" t="n"/>
      <x:c r="C2" s="20" t="n"/>
      <x:c r="D2" s="20" t="n"/>
      <x:c r="E2" s="20" t="n"/>
      <x:c r="F2" s="20" t="n"/>
    </x:row>
    <x:row r="3">
      <x:c r="A3" s="3" t="n"/>
      <x:c r="B3" s="3" t="n"/>
      <x:c r="C3" s="3" t="n"/>
      <x:c r="D3" s="3" t="n"/>
      <x:c r="E3" s="3" t="n"/>
      <x:c r="F3" s="3" t="n"/>
    </x:row>
    <x:row r="4">
      <x:c r="A4" s="4" t="inlineStr">
        <x:is>
          <x:t xml:space="preserve">Evidence module</x:t>
        </x:is>
      </x:c>
      <x:c r="B4" s="4" t="inlineStr">
        <x:is>
          <x:t xml:space="preserve">What it supports</x:t>
        </x:is>
      </x:c>
      <x:c r="C4" s="4" t="inlineStr">
        <x:is>
          <x:t xml:space="preserve">Source</x:t>
        </x:is>
      </x:c>
      <x:c r="D4" s="4" t="inlineStr">
        <x:is>
          <x:t xml:space="preserve">Key evidence</x:t>
        </x:is>
      </x:c>
      <x:c r="E4" s="4" t="inlineStr">
        <x:is>
          <x:t xml:space="preserve">Caveat</x:t>
        </x:is>
      </x:c>
      <x:c r="F4" s="4" t="inlineStr">
        <x:is>
          <x:t xml:space="preserve">PPT use</x:t>
        </x:is>
      </x:c>
    </x:row>
    <x:row r="5">
      <x:c r="A5" s="3" t="inlineStr">
        <x:is>
          <x:t xml:space="preserve">Market definition</x:t>
        </x:is>
      </x:c>
      <x:c r="B5" s="3" t="inlineStr">
        <x:is>
          <x:t xml:space="preserve">Core / C1-C4</x:t>
        </x:is>
      </x:c>
      <x:c r="C5" s="3" t="inlineStr">
        <x:is>
          <x:t xml:space="preserve">CLEAN_LISTINGS + calibrated segmentation</x:t>
        </x:is>
      </x:c>
      <x:c r="D5" s="3" t="inlineStr">
        <x:is>
          <x:t xml:space="preserve">Sample sizes, shares, definitions</x:t>
        </x:is>
      </x:c>
      <x:c r="E5" s="3" t="inlineStr">
        <x:is>
          <x:t xml:space="preserve">Analytical labels, not official categories</x:t>
        </x:is>
      </x:c>
      <x:c r="F5" s="3" t="inlineStr">
        <x:is>
          <x:t xml:space="preserve">Definition + context</x:t>
        </x:is>
      </x:c>
    </x:row>
    <x:row r="6">
      <x:c r="A6" s="3" t="inlineStr">
        <x:is>
          <x:t xml:space="preserve">C2 structure</x:t>
        </x:is>
      </x:c>
      <x:c r="B6" s="3" t="str">
        <x:v>Property form → Location → Area</x:v>
      </x:c>
      <x:c r="C6" s="3" t="inlineStr">
        <x:is>
          <x:t xml:space="preserve">C2 recursive screening</x:t>
        </x:is>
      </x:c>
      <x:c r="D6" s="3" t="inlineStr">
        <x:is>
          <x:t xml:space="preserve">Variable ranking</x:t>
        </x:is>
      </x:c>
      <x:c r="E6" s="3" t="inlineStr">
        <x:is>
          <x:t xml:space="preserve">Exploratory, not causal</x:t>
        </x:is>
      </x:c>
      <x:c r="F6" s="3" t="inlineStr">
        <x:is>
          <x:t xml:space="preserve">Explain Z1/Z2</x:t>
        </x:is>
      </x:c>
    </x:row>
    <x:row r="7">
      <x:c r="A7" s="3" t="inlineStr">
        <x:is>
          <x:t xml:space="preserve">Price position</x:t>
        </x:is>
      </x:c>
      <x:c r="B7" s="3" t="inlineStr">
        <x:is>
          <x:t xml:space="preserve">€620k within C2</x:t>
        </x:is>
      </x:c>
      <x:c r="C7" s="3" t="inlineStr">
        <x:is>
          <x:t xml:space="preserve">CLEAN_LISTINGS</x:t>
        </x:is>
      </x:c>
      <x:c r="D7" s="3" t="inlineStr">
        <x:is>
          <x:t xml:space="preserve">Quartiles + percentile</x:t>
        </x:is>
      </x:c>
      <x:c r="E7" s="3" t="inlineStr">
        <x:is>
          <x:t xml:space="preserve">Asking prices</x:t>
        </x:is>
      </x:c>
      <x:c r="F7" s="3" t="inlineStr">
        <x:is>
          <x:t xml:space="preserve">Valuation context</x:t>
        </x:is>
      </x:c>
    </x:row>
    <x:row r="8">
      <x:c r="A8" s="3" t="inlineStr">
        <x:is>
          <x:t xml:space="preserve">Unit economics</x:t>
        </x:is>
      </x:c>
      <x:c r="B8" s="3" t="inlineStr">
        <x:is>
          <x:t xml:space="preserve">€4,769/sqm</x:t>
        </x:is>
      </x:c>
      <x:c r="C8" s="3" t="inlineStr">
        <x:is>
          <x:t xml:space="preserve">CLEAN_LISTINGS</x:t>
        </x:is>
      </x:c>
      <x:c r="D8" s="3" t="inlineStr">
        <x:is>
          <x:t xml:space="preserve">C2 €/sqm distribution</x:t>
        </x:is>
      </x:c>
      <x:c r="E8" s="3" t="str">
        <x:v>200 usable-area records</x:v>
      </x:c>
      <x:c r="F8" s="3" t="inlineStr">
        <x:is>
          <x:t xml:space="preserve">Price quality</x:t>
        </x:is>
      </x:c>
    </x:row>
    <x:row r="9">
      <x:c r="A9" s="3" t="inlineStr">
        <x:is>
          <x:t xml:space="preserve">Local comparables</x:t>
        </x:is>
      </x:c>
      <x:c r="B9" s="3" t="inlineStr">
        <x:is>
          <x:t xml:space="preserve">Baja / Mucchi Bianchi</x:t>
        </x:is>
      </x:c>
      <x:c r="C9" s="3" t="inlineStr">
        <x:is>
          <x:t xml:space="preserve">Local comparison workbook</x:t>
        </x:is>
      </x:c>
      <x:c r="D9" s="3" t="inlineStr">
        <x:is>
          <x:t xml:space="preserve">12 nearby/similar-size rows + local medians</x:t>
        </x:is>
      </x:c>
      <x:c r="E9" s="3" t="inlineStr">
        <x:is>
          <x:t xml:space="preserve">Not identical comps</x:t>
        </x:is>
      </x:c>
      <x:c r="F9" s="3" t="inlineStr">
        <x:is>
          <x:t xml:space="preserve">Local proof</x:t>
        </x:is>
      </x:c>
    </x:row>
    <x:row r="10">
      <x:c r="A10" s="3" t="inlineStr">
        <x:is>
          <x:t xml:space="preserve">Rental evidence</x:t>
        </x:is>
      </x:c>
      <x:c r="B10" s="3" t="inlineStr">
        <x:is>
          <x:t xml:space="preserve">Observed vs modelled</x:t>
        </x:is>
      </x:c>
      <x:c r="C10" s="3" t="inlineStr">
        <x:is>
          <x:t xml:space="preserve">Investment model</x:t>
        </x:is>
      </x:c>
      <x:c r="D10" s="3" t="str">
        <x:v>€1,250 observed vs Subject Villa model</x:v>
      </x:c>
      <x:c r="E10" s="3" t="inlineStr">
        <x:is>
          <x:t xml:space="preserve">Modelled rents are not guaranteed</x:t>
        </x:is>
      </x:c>
      <x:c r="F10" s="3" t="inlineStr">
        <x:is>
          <x:t xml:space="preserve">Rental positioning</x:t>
        </x:is>
      </x:c>
    </x:row>
    <x:row r="11">
      <x:c r="A11" s="3" t="inlineStr">
        <x:is>
          <x:t xml:space="preserve">Seasonality</x:t>
        </x:is>
      </x:c>
      <x:c r="B11" s="3" t="inlineStr">
        <x:is>
          <x:t xml:space="preserve">Income concentration</x:t>
        </x:is>
      </x:c>
      <x:c r="C11" s="3" t="inlineStr">
        <x:is>
          <x:t xml:space="preserve">Investment model</x:t>
        </x:is>
      </x:c>
      <x:c r="D11" s="3" t="inlineStr">
        <x:is>
          <x:t xml:space="preserve">12 monthly outputs + concentration</x:t>
        </x:is>
      </x:c>
      <x:c r="E11" s="3" t="inlineStr">
        <x:is>
          <x:t xml:space="preserve">Model-dependent</x:t>
        </x:is>
      </x:c>
      <x:c r="F11" s="3" t="inlineStr">
        <x:is>
          <x:t xml:space="preserve">Risk / seasonality</x:t>
        </x:is>
      </x:c>
    </x:row>
    <x:row r="12">
      <x:c r="A12" s="3" t="inlineStr">
        <x:is>
          <x:t xml:space="preserve">Operating cash</x:t>
        </x:is>
      </x:c>
      <x:c r="B12" s="3" t="inlineStr">
        <x:is>
          <x:t xml:space="preserve">Gross → cash</x:t>
        </x:is>
      </x:c>
      <x:c r="C12" s="3" t="inlineStr">
        <x:is>
          <x:t xml:space="preserve">Investment model</x:t>
        </x:is>
      </x:c>
      <x:c r="D12" s="3" t="inlineStr">
        <x:is>
          <x:t xml:space="preserve">5 operating modes + fixed costs</x:t>
        </x:is>
      </x:c>
      <x:c r="E12" s="3" t="inlineStr">
        <x:is>
          <x:t xml:space="preserve">Some costs unresolved</x:t>
        </x:is>
      </x:c>
      <x:c r="F12" s="3" t="inlineStr">
        <x:is>
          <x:t xml:space="preserve">ROI realism</x:t>
        </x:is>
      </x:c>
    </x:row>
    <x:row r="13">
      <x:c r="A13" s="3" t="inlineStr">
        <x:is>
          <x:t xml:space="preserve">Hold / Sell</x:t>
        </x:is>
      </x:c>
      <x:c r="B13" s="3" t="inlineStr">
        <x:is>
          <x:t xml:space="preserve">Capital allocation</x:t>
        </x:is>
      </x:c>
      <x:c r="C13" s="3" t="inlineStr">
        <x:is>
          <x:t xml:space="preserve">Investment model</x:t>
        </x:is>
      </x:c>
      <x:c r="D13" s="3" t="inlineStr">
        <x:is>
          <x:t xml:space="preserve">Property cash yields + sale capital</x:t>
        </x:is>
      </x:c>
      <x:c r="E13" s="3" t="inlineStr">
        <x:is>
          <x:t xml:space="preserve">No alternative-return assumption</x:t>
        </x:is>
      </x:c>
      <x:c r="F13" s="3" t="inlineStr">
        <x:is>
          <x:t xml:space="preserve">Decision support</x:t>
        </x:is>
      </x:c>
    </x:row>
  </x:sheetData>
  <x:mergeCells>
    <x:mergeCell ref="A2:F2"/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baseColWidth="8" defaultRowHeight="15"/>
  <x:cols>
    <x:col min="1" max="1" width="26" customWidth="1"/>
    <x:col min="2" max="2" width="18" customWidth="1"/>
    <x:col min="3" max="3" width="42" customWidth="1"/>
    <x:col min="4" max="4" width="20" customWidth="1"/>
    <x:col min="5" max="5" width="28" customWidth="1"/>
    <x:col min="6" max="6" width="24" customWidth="1"/>
  </x:cols>
  <x:sheetData>
    <x:row r="1">
      <x:c r="A1" s="19" t="inlineStr">
        <x:is>
          <x:t xml:space="preserve">Market Sample &amp; Price-Regime Evidence</x:t>
        </x:is>
      </x:c>
      <x:c r="B1" s="20" t="n"/>
      <x:c r="C1" s="20" t="n"/>
      <x:c r="D1" s="20" t="n"/>
      <x:c r="E1" s="20" t="n"/>
      <x:c r="F1" s="20" t="n"/>
    </x:row>
    <x:row r="2">
      <x:c r="A2" s="21" t="inlineStr">
        <x:is>
          <x:t xml:space="preserve">Current canonical pool and calibrated C1-C4 working classification.</x:t>
        </x:is>
      </x:c>
      <x:c r="B2" s="20" t="n"/>
      <x:c r="C2" s="20" t="n"/>
      <x:c r="D2" s="20" t="n"/>
      <x:c r="E2" s="20" t="n"/>
      <x:c r="F2" s="20" t="n"/>
    </x:row>
    <x:row r="3">
      <x:c r="A3" s="3" t="n"/>
      <x:c r="B3" s="3" t="n"/>
      <x:c r="C3" s="3" t="n"/>
      <x:c r="D3" s="3" t="n"/>
      <x:c r="E3" s="3" t="n"/>
      <x:c r="F3" s="3" t="n"/>
    </x:row>
    <x:row r="4">
      <x:c r="A4" s="4" t="inlineStr">
        <x:is>
          <x:t xml:space="preserve">Canonical entities</x:t>
        </x:is>
      </x:c>
      <x:c r="B4" s="4" t="n">
        <x:v>966</x:v>
      </x:c>
      <x:c r="C4" s="4" t="inlineStr">
        <x:is>
          <x:t xml:space="preserve">Current CLEAN entity pool</x:t>
        </x:is>
      </x:c>
      <x:c r="D4" s="4" t="inlineStr">
        <x:is>
          <x:t xml:space="preserve"/>
        </x:is>
      </x:c>
      <x:c r="E4" s="4" t="inlineStr">
        <x:is>
          <x:t xml:space="preserve">CLEAN_LISTINGS</x:t>
        </x:is>
      </x:c>
      <x:c r="F4" s="4" t="inlineStr">
        <x:is>
          <x:t xml:space="preserve">Universe context</x:t>
        </x:is>
      </x:c>
    </x:row>
    <x:row r="5">
      <x:c r="A5" s="3" t="inlineStr">
        <x:is>
          <x:t xml:space="preserve">Price-available entities</x:t>
        </x:is>
      </x:c>
      <x:c r="B5" s="3" t="n">
        <x:v>715</x:v>
      </x:c>
      <x:c r="C5" s="3" t="inlineStr">
        <x:is>
          <x:t xml:space="preserve">Entities with usable asking price</x:t>
        </x:is>
      </x:c>
      <x:c r="D5" s="3" t="inlineStr">
        <x:is>
          <x:t xml:space="preserve">100.0%</x:t>
        </x:is>
      </x:c>
      <x:c r="E5" s="3" t="inlineStr">
        <x:is>
          <x:t xml:space="preserve">CLEAN_LISTINGS</x:t>
        </x:is>
      </x:c>
      <x:c r="F5" s="3" t="inlineStr">
        <x:is>
          <x:t xml:space="preserve">Universe base</x:t>
        </x:is>
      </x:c>
    </x:row>
    <x:row r="6">
      <x:c r="A6" s="3" t="inlineStr">
        <x:is>
          <x:t xml:space="preserve">C1</x:t>
        </x:is>
      </x:c>
      <x:c r="B6" s="3" t="n">
        <x:v>11</x:v>
      </x:c>
      <x:c r="C6" s="3" t="inlineStr">
        <x:is>
          <x:t xml:space="preserve">Low-price outliers</x:t>
        </x:is>
      </x:c>
      <x:c r="D6" s="5" t="n">
        <x:v>0.01538461538461539</x:v>
      </x:c>
      <x:c r="E6" s="3" t="inlineStr">
        <x:is>
          <x:t xml:space="preserve">Final working classification</x:t>
        </x:is>
      </x:c>
      <x:c r="F6" s="3" t="inlineStr">
        <x:is>
          <x:t xml:space="preserve">Price tail</x:t>
        </x:is>
      </x:c>
    </x:row>
    <x:row r="7">
      <x:c r="A7" s="3" t="inlineStr">
        <x:is>
          <x:t xml:space="preserve">C2</x:t>
        </x:is>
      </x:c>
      <x:c r="B7" s="3" t="n">
        <x:v>595</x:v>
      </x:c>
      <x:c r="C7" s="3" t="inlineStr">
        <x:is>
          <x:t xml:space="preserve">Final calibrated core market</x:t>
        </x:is>
      </x:c>
      <x:c r="D7" s="5" t="n">
        <x:v>0.8321678321678322</x:v>
      </x:c>
      <x:c r="E7" s="3" t="inlineStr">
        <x:is>
          <x:t xml:space="preserve">Final calibrated + scope-safe</x:t>
        </x:is>
      </x:c>
      <x:c r="F7" s="3" t="inlineStr">
        <x:is>
          <x:t xml:space="preserve">Main benchmark</x:t>
        </x:is>
      </x:c>
    </x:row>
    <x:row r="8">
      <x:c r="A8" s="3" t="inlineStr">
        <x:is>
          <x:t xml:space="preserve">C3</x:t>
        </x:is>
      </x:c>
      <x:c r="B8" s="3" t="n">
        <x:v>69</x:v>
      </x:c>
      <x:c r="C8" s="3" t="inlineStr">
        <x:is>
          <x:t xml:space="preserve">Scope-safe high-price / luxury tail</x:t>
        </x:is>
      </x:c>
      <x:c r="D8" s="5" t="n">
        <x:v>0.0965034965034965</x:v>
      </x:c>
      <x:c r="E8" s="3" t="inlineStr">
        <x:is>
          <x:t xml:space="preserve">C3 calibration with out-of-scope rows removed</x:t>
        </x:is>
      </x:c>
      <x:c r="F8" s="3" t="inlineStr">
        <x:is>
          <x:t xml:space="preserve">Upper tail</x:t>
        </x:is>
      </x:c>
    </x:row>
    <x:row r="9">
      <x:c r="A9" s="3" t="inlineStr">
        <x:is>
          <x:t xml:space="preserve">C4</x:t>
        </x:is>
      </x:c>
      <x:c r="B9" s="3" t="n">
        <x:v>31</x:v>
      </x:c>
      <x:c r="C9" s="3" t="inlineStr">
        <x:is>
          <x:t xml:space="preserve">Extreme luxury tail</x:t>
        </x:is>
      </x:c>
      <x:c r="D9" s="5" t="n">
        <x:v>0.04335664335664335</x:v>
      </x:c>
      <x:c r="E9" s="3" t="inlineStr">
        <x:is>
          <x:t xml:space="preserve">Existing project classification</x:t>
        </x:is>
      </x:c>
      <x:c r="F9" s="3" t="inlineStr">
        <x:is>
          <x:t xml:space="preserve">Extreme tail</x:t>
        </x:is>
      </x:c>
    </x:row>
    <x:row r="10">
      <x:c r="A10" s="3" t="inlineStr">
        <x:is>
          <x:t xml:space="preserve">Unresolved / other</x:t>
        </x:is>
      </x:c>
      <x:c r="B10" s="3" t="n">
        <x:v>9</x:v>
      </x:c>
      <x:c r="C10" s="3" t="inlineStr">
        <x:is>
          <x:t xml:space="preserve">Price-available records not yet closed into the four regimes</x:t>
        </x:is>
      </x:c>
      <x:c r="D10" s="5" t="n">
        <x:v>0.01258741258741259</x:v>
      </x:c>
      <x:c r="E10" s="3" t="inlineStr">
        <x:is>
          <x:t xml:space="preserve">Reconciliation remainder</x:t>
        </x:is>
      </x:c>
      <x:c r="F10" s="3" t="inlineStr">
        <x:is>
          <x:t xml:space="preserve">Audit only</x:t>
        </x:is>
      </x:c>
    </x:row>
  </x:sheetData>
  <x:mergeCells>
    <x:mergeCell ref="A2:F2"/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baseColWidth="8" defaultRowHeight="15"/>
  <x:cols>
    <x:col min="1" max="1" width="24" customWidth="1"/>
    <x:col min="2" max="2" width="18" customWidth="1"/>
    <x:col min="3" max="3" width="12" customWidth="1"/>
    <x:col min="4" max="4" width="60" customWidth="1"/>
    <x:col min="5" max="5" width="24" customWidth="1"/>
  </x:cols>
  <x:sheetData>
    <x:row r="1">
      <x:c r="A1" s="19" t="inlineStr">
        <x:is>
          <x:t xml:space="preserve">C2 Recursive Structure — Evidence</x:t>
        </x:is>
      </x:c>
      <x:c r="B1" s="20" t="n"/>
      <x:c r="C1" s="20" t="n"/>
      <x:c r="D1" s="20" t="n"/>
      <x:c r="E1" s="20" t="n"/>
    </x:row>
    <x:row r="2">
      <x:c r="A2" s="21" t="inlineStr">
        <x:is>
          <x:t xml:space="preserve">Exploratory price-separation screening used to identify the recursive hierarchy.</x:t>
        </x:is>
      </x:c>
      <x:c r="B2" s="20" t="n"/>
      <x:c r="C2" s="20" t="n"/>
      <x:c r="D2" s="20" t="n"/>
      <x:c r="E2" s="20" t="n"/>
    </x:row>
    <x:row r="3">
      <x:c r="A3" s="3" t="n"/>
      <x:c r="B3" s="3" t="n"/>
      <x:c r="C3" s="3" t="n"/>
      <x:c r="D3" s="3" t="n"/>
      <x:c r="E3" s="3" t="n"/>
    </x:row>
    <x:row r="4">
      <x:c r="A4" s="4" t="inlineStr">
        <x:is>
          <x:t xml:space="preserve">Variable</x:t>
        </x:is>
      </x:c>
      <x:c r="B4" s="4" t="inlineStr">
        <x:is>
          <x:t xml:space="preserve">Screening score</x:t>
        </x:is>
      </x:c>
      <x:c r="C4" s="4" t="inlineStr">
        <x:is>
          <x:t xml:space="preserve">Rank</x:t>
        </x:is>
      </x:c>
      <x:c r="D4" s="4" t="inlineStr">
        <x:is>
          <x:t xml:space="preserve">Interpretation</x:t>
        </x:is>
      </x:c>
      <x:c r="E4" s="4" t="inlineStr">
        <x:is>
          <x:t xml:space="preserve">Role</x:t>
        </x:is>
      </x:c>
    </x:row>
    <x:row r="5">
      <x:c r="A5" s="3" t="inlineStr">
        <x:is>
          <x:t xml:space="preserve">Property form</x:t>
        </x:is>
      </x:c>
      <x:c r="B5" s="6" t="n">
        <x:v>0.8533992740887533</x:v>
      </x:c>
      <x:c r="C5" s="3" t="n">
        <x:v>1</x:v>
      </x:c>
      <x:c r="D5" s="3" t="inlineStr">
        <x:is>
          <x:t xml:space="preserve">Final 595-C2 exploratory screening</x:t>
        </x:is>
      </x:c>
      <x:c r="E5" s="3" t="inlineStr">
        <x:is>
          <x:t xml:space="preserve">Z1 candidate</x:t>
        </x:is>
      </x:c>
    </x:row>
    <x:row r="6">
      <x:c r="A6" s="3" t="inlineStr">
        <x:is>
          <x:t xml:space="preserve">Location</x:t>
        </x:is>
      </x:c>
      <x:c r="B6" s="6" t="n">
        <x:v>0.6642897632811979</x:v>
      </x:c>
      <x:c r="C6" s="3" t="n">
        <x:v>2</x:v>
      </x:c>
      <x:c r="D6" s="3" t="inlineStr">
        <x:is>
          <x:t xml:space="preserve">Final 595-C2 exploratory screening</x:t>
        </x:is>
      </x:c>
      <x:c r="E6" s="3" t="inlineStr">
        <x:is>
          <x:t xml:space="preserve">Z2 candidate</x:t>
        </x:is>
      </x:c>
    </x:row>
    <x:row r="7">
      <x:c r="A7" s="3" t="inlineStr">
        <x:is>
          <x:t xml:space="preserve">Area</x:t>
        </x:is>
      </x:c>
      <x:c r="B7" s="6" t="n">
        <x:v>0.4225611588508525</x:v>
      </x:c>
      <x:c r="C7" s="3" t="n">
        <x:v>3</x:v>
      </x:c>
      <x:c r="D7" s="3" t="inlineStr">
        <x:is>
          <x:t xml:space="preserve">Final 595-C2 exploratory screening</x:t>
        </x:is>
      </x:c>
      <x:c r="E7" s="3" t="inlineStr">
        <x:is>
          <x:t xml:space="preserve">Downstream</x:t>
        </x:is>
      </x:c>
    </x:row>
    <x:row r="8">
      <x:c r="A8" s="3" t="inlineStr">
        <x:is>
          <x:t xml:space="preserve">Independence</x:t>
        </x:is>
      </x:c>
      <x:c r="B8" s="6" t="n">
        <x:v>0.006680309895635192</x:v>
      </x:c>
      <x:c r="C8" s="3" t="n">
        <x:v>4</x:v>
      </x:c>
      <x:c r="D8" s="3" t="inlineStr">
        <x:is>
          <x:t xml:space="preserve">Final 595-C2 exploratory screening</x:t>
        </x:is>
      </x:c>
      <x:c r="E8" s="3" t="inlineStr">
        <x:is>
          <x:t xml:space="preserve">Downstream</x:t>
        </x:is>
      </x:c>
    </x:row>
    <x:row r="9">
      <x:c r="A9" s="3" t="inlineStr">
        <x:is>
          <x:t xml:space="preserve">Sea relationship</x:t>
        </x:is>
      </x:c>
      <x:c r="B9" s="6" t="n">
        <x:v>9.533743289351196e-05</x:v>
      </x:c>
      <x:c r="C9" s="3" t="n">
        <x:v>5</x:v>
      </x:c>
      <x:c r="D9" s="3" t="inlineStr">
        <x:is>
          <x:t xml:space="preserve">Final 595-C2 exploratory screening</x:t>
        </x:is>
      </x:c>
      <x:c r="E9" s="3" t="inlineStr">
        <x:is>
          <x:t xml:space="preserve">Downstream</x:t>
        </x:is>
      </x:c>
    </x:row>
    <x:row r="10">
      <x:c r="A10" s="3" t="n"/>
      <x:c r="B10" s="6" t="n"/>
      <x:c r="C10" s="3" t="n"/>
      <x:c r="D10" s="3" t="n"/>
      <x:c r="E10" s="3" t="n"/>
    </x:row>
    <x:row r="11">
      <x:c r="A11" s="3" t="n"/>
      <x:c r="B11" s="6" t="n"/>
      <x:c r="C11" s="3" t="n"/>
      <x:c r="D11" s="3" t="n"/>
      <x:c r="E11" s="3" t="n"/>
    </x:row>
    <x:row r="12">
      <x:c r="A12" s="3" t="n"/>
      <x:c r="B12" s="3" t="n"/>
      <x:c r="C12" s="3" t="n"/>
      <x:c r="D12" s="3" t="n"/>
      <x:c r="E12" s="3" t="n"/>
    </x:row>
    <x:row r="13">
      <x:c r="A13" s="22" t="inlineStr">
        <x:is>
          <x:t xml:space="preserve">Final-C2 rerun result: Property form is the strongest first-order separator and Location is the strongest next screening variable. Exploratory, not causal.</x:t>
        </x:is>
      </x:c>
    </x:row>
    <x:row r="14"/>
    <x:row r="15"/>
    <x:row r="16">
      <x:c r="A16" s="20" t="n"/>
      <x:c r="B16" s="20" t="n"/>
      <x:c r="C16" s="20" t="n"/>
      <x:c r="D16" s="20" t="n"/>
      <x:c r="E16" s="20" t="n"/>
    </x:row>
  </x:sheetData>
  <x:mergeCells>
    <x:mergeCell ref="A2:E2"/>
    <x:mergeCell ref="A1:E1"/>
    <x:mergeCell ref="A14:E16"/>
    <x:mergeCell ref="A13:E1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baseColWidth="8" defaultRowHeight="15"/>
  <x:cols>
    <x:col min="1" max="1" width="30" customWidth="1"/>
    <x:col min="2" max="2" width="20" customWidth="1"/>
    <x:col min="3" max="3" width="20" customWidth="1"/>
    <x:col min="4" max="4" width="42" customWidth="1"/>
    <x:col min="5" max="5" width="28" customWidth="1"/>
  </x:cols>
  <x:sheetData>
    <x:row r="1">
      <x:c r="A1" s="19" t="str">
        <x:v>Subject Villa — Total Price Position</x:v>
      </x:c>
      <x:c r="B1" s="20" t="n"/>
      <x:c r="C1" s="20" t="n"/>
      <x:c r="D1" s="20" t="n"/>
      <x:c r="E1" s="20" t="n"/>
    </x:row>
    <x:row r="2">
      <x:c r="A2" s="21" t="str">
        <x:v>Current C2 asking-price distribution with the subject asset placed on the same scale.</x:v>
      </x:c>
      <x:c r="B2" s="20" t="n"/>
      <x:c r="C2" s="20" t="n"/>
      <x:c r="D2" s="20" t="n"/>
      <x:c r="E2" s="20" t="n"/>
    </x:row>
    <x:row r="3">
      <x:c r="A3" s="3" t="n"/>
      <x:c r="B3" s="3" t="n"/>
      <x:c r="C3" s="3" t="n"/>
      <x:c r="D3" s="3" t="n"/>
      <x:c r="E3" s="3" t="n"/>
    </x:row>
    <x:row r="4">
      <x:c r="A4" s="4" t="inlineStr">
        <x:is>
          <x:t xml:space="preserve">C2 Q1</x:t>
        </x:is>
      </x:c>
      <x:c r="B4" s="12" t="n">
        <x:v>633000</x:v>
      </x:c>
      <x:c r="C4" s="4" t="n">
        <x:v>620000</x:v>
      </x:c>
      <x:c r="D4" s="4" t="str">
        <x:v>Subject Villa above Q1</x:v>
      </x:c>
      <x:c r="E4" s="4" t="inlineStr">
        <x:is>
          <x:t xml:space="preserve">Final C2</x:t>
        </x:is>
      </x:c>
    </x:row>
    <x:row r="5">
      <x:c r="A5" s="3" t="inlineStr">
        <x:is>
          <x:t xml:space="preserve">C2 median</x:t>
        </x:is>
      </x:c>
      <x:c r="B5" s="7" t="n">
        <x:v>1200000</x:v>
      </x:c>
      <x:c r="C5" s="7" t="n">
        <x:v>620000</x:v>
      </x:c>
      <x:c r="D5" s="3" t="str">
        <x:v>Subject Villa below median</x:v>
      </x:c>
      <x:c r="E5" s="3" t="inlineStr">
        <x:is>
          <x:t xml:space="preserve">Final C2</x:t>
        </x:is>
      </x:c>
    </x:row>
    <x:row r="6">
      <x:c r="A6" s="3" t="inlineStr">
        <x:is>
          <x:t xml:space="preserve">C2 Q3</x:t>
        </x:is>
      </x:c>
      <x:c r="B6" s="7" t="n">
        <x:v>1950000</x:v>
      </x:c>
      <x:c r="C6" s="7" t="n">
        <x:v>620000</x:v>
      </x:c>
      <x:c r="D6" s="3" t="str">
        <x:v>Subject Villa below Q3</x:v>
      </x:c>
      <x:c r="E6" s="3" t="inlineStr">
        <x:is>
          <x:t xml:space="preserve">Final C2</x:t>
        </x:is>
      </x:c>
    </x:row>
    <x:row r="7">
      <x:c r="A7" s="3" t="str">
        <x:v>Subject Villa percentile</x:v>
      </x:c>
      <x:c r="B7" s="5" t="n">
        <x:v>0.2453781512605042</x:v>
      </x:c>
      <x:c r="C7" s="7" t="n">
        <x:v>620000</x:v>
      </x:c>
      <x:c r="D7" s="3" t="inlineStr">
        <x:is>
          <x:t xml:space="preserve">Lower-half position</x:t>
        </x:is>
      </x:c>
      <x:c r="E7" s="3" t="inlineStr">
        <x:is>
          <x:t xml:space="preserve">Final C2</x:t>
        </x:is>
      </x:c>
    </x:row>
    <x:row r="8">
      <x:c r="A8" s="3" t="str">
        <x:v>Selected local median</x:v>
      </x:c>
      <x:c r="B8" s="7" t="n">
        <x:v>700000</x:v>
      </x:c>
      <x:c r="C8" s="3" t="n">
        <x:v>620000</x:v>
      </x:c>
      <x:c r="D8" s="3" t="str">
        <x:v>Subject included in set</x:v>
      </x:c>
      <x:c r="E8" s="3" t="str">
        <x:v>Universe-sensitive</x:v>
      </x:c>
    </x:row>
    <x:row r="9">
      <x:c r="A9" s="3" t="inlineStr">
        <x:is>
          <x:t xml:space="preserve">Local 3BR anchor</x:t>
        </x:is>
      </x:c>
      <x:c r="B9" s="7" t="n">
        <x:v>480000</x:v>
      </x:c>
      <x:c r="C9" s="7" t="n">
        <x:v>620000</x:v>
      </x:c>
      <x:c r="D9" s="3" t="str">
        <x:v>Subject Villa = 1.29x</x:v>
      </x:c>
      <x:c r="E9" s="3" t="inlineStr">
        <x:is>
          <x:t xml:space="preserve">Existing local model</x:t>
        </x:is>
      </x:c>
    </x:row>
    <x:row r="10">
      <x:c r="A10" s="3" t="inlineStr">
        <x:is>
          <x:t xml:space="preserve">Local 3BR anchor</x:t>
        </x:is>
      </x:c>
      <x:c r="B10" s="7" t="n">
        <x:v>480000</x:v>
      </x:c>
      <x:c r="C10" s="7" t="n">
        <x:v>620000</x:v>
      </x:c>
      <x:c r="D10" s="3" t="str">
        <x:v>Subject Villa is 1.29x</x:v>
      </x:c>
      <x:c r="E10" s="3" t="inlineStr">
        <x:is>
          <x:t xml:space="preserve">Local comparison</x:t>
        </x:is>
      </x:c>
    </x:row>
    <x:row r="11">
      <x:c r="A11" s="11" t="n"/>
      <x:c r="B11" s="11" t="n"/>
      <x:c r="C11" s="11" t="n"/>
      <x:c r="D11" s="11" t="n"/>
      <x:c r="E11" s="11" t="n"/>
    </x:row>
    <x:row r="12">
      <x:c r="A12" s="11" t="n"/>
      <x:c r="B12" s="11" t="n"/>
      <x:c r="C12" s="11" t="n"/>
      <x:c r="D12" s="11" t="n"/>
      <x:c r="E12" s="11" t="n"/>
    </x:row>
    <x:row r="13">
      <x:c r="A13" s="11" t="n"/>
      <x:c r="B13" s="11" t="n"/>
      <x:c r="C13" s="11" t="n"/>
      <x:c r="D13" s="11" t="n"/>
      <x:c r="E13" s="11" t="n"/>
    </x:row>
    <x:row r="14">
      <x:c r="A14" s="11" t="n"/>
      <x:c r="B14" s="11" t="n"/>
      <x:c r="C14" s="11" t="n"/>
      <x:c r="D14" s="11" t="n"/>
      <x:c r="E14" s="11" t="n"/>
    </x:row>
    <x:row r="15">
      <x:c r="A15" s="11" t="n"/>
      <x:c r="B15" s="11" t="n"/>
      <x:c r="C15" s="11" t="n"/>
      <x:c r="D15" s="11" t="n"/>
      <x:c r="E15" s="11" t="n"/>
    </x:row>
    <x:row r="16">
      <x:c r="A16" s="11" t="inlineStr">
        <x:is>
          <x:t xml:space="preserve">C2 Q1</x:t>
        </x:is>
      </x:c>
      <x:c r="B16" s="13" t="n">
        <x:v>633000</x:v>
      </x:c>
      <x:c r="C16" s="11" t="n"/>
      <x:c r="D16" s="11" t="n"/>
      <x:c r="E16" s="11" t="n"/>
    </x:row>
    <x:row r="17">
      <x:c r="A17" s="11" t="str">
        <x:v>Subject Villa</x:v>
      </x:c>
      <x:c r="B17" s="13" t="n">
        <x:v>620000</x:v>
      </x:c>
      <x:c r="C17" s="11" t="n"/>
      <x:c r="D17" s="11" t="n"/>
      <x:c r="E17" s="11" t="n"/>
    </x:row>
    <x:row r="18">
      <x:c r="A18" s="11" t="inlineStr">
        <x:is>
          <x:t xml:space="preserve">C2 median</x:t>
        </x:is>
      </x:c>
      <x:c r="B18" s="13" t="n">
        <x:v>1200000</x:v>
      </x:c>
      <x:c r="C18" s="11" t="n"/>
      <x:c r="D18" s="11" t="n"/>
      <x:c r="E18" s="11" t="n"/>
    </x:row>
    <x:row r="19">
      <x:c r="A19" s="11" t="inlineStr">
        <x:is>
          <x:t xml:space="preserve">C2 Q3</x:t>
        </x:is>
      </x:c>
      <x:c r="B19" s="13" t="n">
        <x:v>1950000</x:v>
      </x:c>
      <x:c r="C19" s="11" t="n"/>
      <x:c r="D19" s="11" t="n"/>
      <x:c r="E19" s="11" t="n"/>
    </x:row>
  </x:sheetData>
  <x:mergeCells>
    <x:mergeCell ref="A2:E2"/>
    <x:mergeCell ref="A1:E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baseColWidth="8" defaultRowHeight="15"/>
  <x:cols>
    <x:col min="1" max="1" width="30" customWidth="1"/>
    <x:col min="2" max="2" width="20" customWidth="1"/>
    <x:col min="3" max="3" width="20" customWidth="1"/>
    <x:col min="4" max="4" width="42" customWidth="1"/>
    <x:col min="5" max="5" width="28" customWidth="1"/>
  </x:cols>
  <x:sheetData>
    <x:row r="1">
      <x:c r="A1" s="19" t="str">
        <x:v>Subject Villa — €/sqm Position</x:v>
      </x:c>
      <x:c r="B1" s="20" t="n"/>
      <x:c r="C1" s="20" t="n"/>
      <x:c r="D1" s="20" t="n"/>
      <x:c r="E1" s="20" t="n"/>
    </x:row>
    <x:row r="2">
      <x:c r="A2" s="21" t="inlineStr">
        <x:is>
          <x:t xml:space="preserve">C2 records with usable area only.</x:t>
        </x:is>
      </x:c>
      <x:c r="B2" s="20" t="n"/>
      <x:c r="C2" s="20" t="n"/>
      <x:c r="D2" s="20" t="n"/>
      <x:c r="E2" s="20" t="n"/>
    </x:row>
    <x:row r="3">
      <x:c r="A3" s="3" t="n"/>
      <x:c r="B3" s="3" t="n"/>
      <x:c r="C3" s="3" t="n"/>
      <x:c r="D3" s="3" t="n"/>
      <x:c r="E3" s="3" t="n"/>
    </x:row>
    <x:row r="4">
      <x:c r="A4" s="4" t="inlineStr">
        <x:is>
          <x:t xml:space="preserve">C2 Q1 €/sqm</x:t>
        </x:is>
      </x:c>
      <x:c r="B4" s="12" t="n">
        <x:v>4333.333333333333</x:v>
      </x:c>
      <x:c r="C4" s="4" t="n">
        <x:v>4769.23076923077</x:v>
      </x:c>
      <x:c r="D4" s="4" t="inlineStr">
        <x:is>
          <x:t xml:space="preserve"/>
        </x:is>
      </x:c>
      <x:c r="E4" s="4" t="inlineStr">
        <x:is>
          <x:t xml:space="preserve">Final C2 usable-area</x:t>
        </x:is>
      </x:c>
    </x:row>
    <x:row r="5">
      <x:c r="A5" s="3" t="str">
        <x:v>Subject Villa €/sqm</x:v>
      </x:c>
      <x:c r="B5" s="7" t="n">
        <x:v>4769.23076923077</x:v>
      </x:c>
      <x:c r="C5" s="7" t="n">
        <x:v>4769.23076923077</x:v>
      </x:c>
      <x:c r="D5" s="3" t="inlineStr">
        <x:is>
          <x:t xml:space="preserve">0.87x C2 median</x:t>
        </x:is>
      </x:c>
      <x:c r="E5" s="3" t="inlineStr">
        <x:is>
          <x:t xml:space="preserve">€620k / 130 sqm</x:t>
        </x:is>
      </x:c>
    </x:row>
    <x:row r="6">
      <x:c r="A6" s="3" t="inlineStr">
        <x:is>
          <x:t xml:space="preserve">C2 median €/sqm</x:t>
        </x:is>
      </x:c>
      <x:c r="B6" s="7" t="n">
        <x:v>5508.043217286915</x:v>
      </x:c>
      <x:c r="C6" s="7" t="n">
        <x:v>4769.23076923077</x:v>
      </x:c>
      <x:c r="D6" s="3" t="inlineStr">
        <x:is>
          <x:t xml:space="preserve"/>
        </x:is>
      </x:c>
      <x:c r="E6" s="3" t="inlineStr">
        <x:is>
          <x:t xml:space="preserve">Final C2 usable-area</x:t>
        </x:is>
      </x:c>
    </x:row>
    <x:row r="7">
      <x:c r="A7" s="3" t="inlineStr">
        <x:is>
          <x:t xml:space="preserve">C2 Q3 €/sqm</x:t>
        </x:is>
      </x:c>
      <x:c r="B7" s="7" t="n">
        <x:v>6906.927710843373</x:v>
      </x:c>
      <x:c r="C7" s="7" t="n">
        <x:v>4769.23076923077</x:v>
      </x:c>
      <x:c r="D7" s="3" t="inlineStr">
        <x:is>
          <x:t xml:space="preserve"/>
        </x:is>
      </x:c>
      <x:c r="E7" s="3" t="inlineStr">
        <x:is>
          <x:t xml:space="preserve">Final C2 usable-area</x:t>
        </x:is>
      </x:c>
    </x:row>
    <x:row r="8">
      <x:c r="A8" s="3" t="inlineStr">
        <x:is>
          <x:t xml:space="preserve">C2 P90 €/sqm</x:t>
        </x:is>
      </x:c>
      <x:c r="B8" s="7" t="n">
        <x:v>9385.093167701863</x:v>
      </x:c>
      <x:c r="C8" s="7" t="n">
        <x:v>4769.23076923077</x:v>
      </x:c>
      <x:c r="D8" s="3" t="inlineStr">
        <x:is>
          <x:t xml:space="preserve"/>
        </x:is>
      </x:c>
      <x:c r="E8" s="3" t="inlineStr">
        <x:is>
          <x:t xml:space="preserve">Final C2 usable-area</x:t>
        </x:is>
      </x:c>
    </x:row>
    <x:row r="9">
      <x:c r="A9" s="3" t="str">
        <x:v>Subject Villa percentile</x:v>
      </x:c>
      <x:c r="B9" s="5" t="n">
        <x:v>0.37</x:v>
      </x:c>
      <x:c r="C9" s="3" t="n">
        <x:v>4769.23076923077</x:v>
      </x:c>
      <x:c r="D9" s="3" t="inlineStr">
        <x:is>
          <x:t xml:space="preserve">Lower-middle position</x:t>
        </x:is>
      </x:c>
      <x:c r="E9" s="3" t="inlineStr">
        <x:is>
          <x:t xml:space="preserve">Final C2 usable-area</x:t>
        </x:is>
      </x:c>
    </x:row>
    <x:row r="10">
      <x:c r="A10" s="3" t="inlineStr">
        <x:is>
          <x:t xml:space="preserve">Usable-area observations</x:t>
        </x:is>
      </x:c>
      <x:c r="B10" s="7" t="n">
        <x:v>200</x:v>
      </x:c>
      <x:c r="C10" s="3" t="inlineStr">
        <x:is>
          <x:t xml:space="preserve"/>
        </x:is>
      </x:c>
      <x:c r="D10" s="3" t="inlineStr">
        <x:is>
          <x:t xml:space="preserve"/>
        </x:is>
      </x:c>
      <x:c r="E10" s="3" t="inlineStr">
        <x:is>
          <x:t xml:space="preserve">Final C2</x:t>
        </x:is>
      </x:c>
    </x:row>
  </x:sheetData>
  <x:mergeCells>
    <x:mergeCell ref="A2:E2"/>
    <x:mergeCell ref="A1:E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baseColWidth="8" defaultRowHeight="15"/>
  <x:cols>
    <x:col min="1" max="1" width="18" customWidth="1"/>
    <x:col min="2" max="2" width="14" customWidth="1"/>
    <x:col min="3" max="3" width="16" customWidth="1"/>
    <x:col min="4" max="4" width="32" customWidth="1"/>
    <x:col min="5" max="5" width="28" customWidth="1"/>
    <x:col min="6" max="6" width="24" customWidth="1"/>
    <x:col min="7" max="7" width="52" customWidth="1"/>
  </x:cols>
  <x:sheetData>
    <x:row r="1">
      <x:c r="A1" s="19" t="inlineStr">
        <x:is>
          <x:t xml:space="preserve">Baja Sardinia / Mucchi Bianchi — Comparable Evidence</x:t>
        </x:is>
      </x:c>
      <x:c r="B1" s="20" t="n"/>
      <x:c r="C1" s="20" t="n"/>
      <x:c r="D1" s="20" t="n"/>
      <x:c r="E1" s="20" t="n"/>
      <x:c r="F1" s="20" t="n"/>
      <x:c r="G1" s="20" t="n"/>
    </x:row>
    <x:row r="2">
      <x:c r="A2" s="21" t="str">
        <x:v>Selected 63-row local set includes the separately labeled subject reference; the €700k median is not subject-excluded.</x:v>
      </x:c>
      <x:c r="B2" s="20" t="n"/>
      <x:c r="C2" s="20" t="n"/>
      <x:c r="D2" s="20" t="n"/>
      <x:c r="E2" s="20" t="n"/>
      <x:c r="F2" s="20" t="n"/>
      <x:c r="G2" s="20" t="n"/>
    </x:row>
    <x:row r="3">
      <x:c r="A3" s="3" t="n"/>
      <x:c r="B3" s="3" t="n"/>
      <x:c r="C3" s="3" t="n"/>
      <x:c r="D3" s="3" t="n"/>
      <x:c r="E3" s="3" t="n"/>
      <x:c r="F3" s="3" t="n"/>
      <x:c r="G3" s="3" t="n"/>
    </x:row>
    <x:row r="4">
      <x:c r="A4" s="4" t="inlineStr">
        <x:is>
          <x:t xml:space="preserve">Asking price</x:t>
        </x:is>
      </x:c>
      <x:c r="B4" s="4" t="inlineStr">
        <x:is>
          <x:t xml:space="preserve">Area sqm</x:t>
        </x:is>
      </x:c>
      <x:c r="C4" s="4" t="inlineStr">
        <x:is>
          <x:t xml:space="preserve">€/sqm</x:t>
        </x:is>
      </x:c>
      <x:c r="D4" s="4" t="inlineStr">
        <x:is>
          <x:t xml:space="preserve">Address</x:t>
        </x:is>
      </x:c>
      <x:c r="E4" s="4" t="inlineStr">
        <x:is>
          <x:t xml:space="preserve">Search area</x:t>
        </x:is>
      </x:c>
      <x:c r="F4" s="4" t="inlineStr">
        <x:is>
          <x:t xml:space="preserve">Property type</x:t>
        </x:is>
      </x:c>
      <x:c r="G4" s="4" t="inlineStr">
        <x:is>
          <x:t xml:space="preserve">Title</x:t>
        </x:is>
      </x:c>
    </x:row>
    <x:row r="5">
      <x:c r="A5" s="7" t="n">
        <x:v>210000</x:v>
      </x:c>
      <x:c r="B5" s="8" t="n">
        <x:v>42</x:v>
      </x:c>
      <x:c r="C5" s="7" t="n">
        <x:v>5000</x:v>
      </x:c>
      <x:c r="D5" s="3" t="inlineStr">
        <x:is>
          <x:t xml:space="preserve">via cala bitta, area baja sardinia, arzachena</x:t>
        </x:is>
      </x:c>
      <x:c r="E5" s="3" t="inlineStr">
        <x:is>
          <x:t xml:space="preserve">via cala bitta</x:t>
        </x:is>
      </x:c>
      <x:c r="F5" s="3" t="inlineStr">
        <x:is>
          <x:t xml:space="preserve">bilocale</x:t>
        </x:is>
      </x:c>
      <x:c r="G5" s="3" t="inlineStr">
        <x:is>
          <x:t xml:space="preserve">Bilocale 42 m²</x:t>
        </x:is>
      </x:c>
    </x:row>
    <x:row r="6">
      <x:c r="A6" s="7" t="n">
        <x:v>240000</x:v>
      </x:c>
      <x:c r="B6" s="8" t="n">
        <x:v>54</x:v>
      </x:c>
      <x:c r="C6" s="7" t="n">
        <x:v>4444.444444444444</x:v>
      </x:c>
      <x:c r="D6" s="3" t="inlineStr">
        <x:is>
          <x:t xml:space="preserve">località lu cumitoni, area baja sardinia, arzachena</x:t>
        </x:is>
      </x:c>
      <x:c r="E6" s="3" t="inlineStr">
        <x:is>
          <x:t xml:space="preserve">villaggio faras</x:t>
        </x:is>
      </x:c>
      <x:c r="F6" s="3" t="inlineStr">
        <x:is>
          <x:t xml:space="preserve">trilocale</x:t>
        </x:is>
      </x:c>
      <x:c r="G6" s="3" t="inlineStr">
        <x:is>
          <x:t xml:space="preserve">Trilocale 54 m²</x:t>
        </x:is>
      </x:c>
    </x:row>
    <x:row r="7">
      <x:c r="A7" s="7" t="n">
        <x:v>250000</x:v>
      </x:c>
      <x:c r="B7" s="8" t="n">
        <x:v>58</x:v>
      </x:c>
      <x:c r="C7" s="7" t="n">
        <x:v>4310.344827586207</x:v>
      </x:c>
      <x:c r="D7" s="3" t="inlineStr">
        <x:is>
          <x:t xml:space="preserve">località cala bitta, 1</x:t>
        </x:is>
      </x:c>
      <x:c r="E7" s="3" t="inlineStr">
        <x:is>
          <x:t xml:space="preserve">località cala bitta</x:t>
        </x:is>
      </x:c>
      <x:c r="F7" s="3" t="inlineStr">
        <x:is>
          <x:t xml:space="preserve">trilocale</x:t>
        </x:is>
      </x:c>
      <x:c r="G7" s="3" t="inlineStr">
        <x:is>
          <x:t xml:space="preserve">Trilocale 58 m²</x:t>
        </x:is>
      </x:c>
    </x:row>
    <x:row r="8">
      <x:c r="A8" s="7" t="n">
        <x:v>250000</x:v>
      </x:c>
      <x:c r="B8" s="8" t="n">
        <x:v>75</x:v>
      </x:c>
      <x:c r="C8" s="7" t="n">
        <x:v>3333.333333333333</x:v>
      </x:c>
      <x:c r="D8" s="3" t="inlineStr">
        <x:is>
          <x:t xml:space="preserve">via lu cumitoni, area baja sardinia, arzachena</x:t>
        </x:is>
      </x:c>
      <x:c r="E8" s="3" t="inlineStr">
        <x:is>
          <x:t xml:space="preserve">villaggio faras</x:t>
        </x:is>
      </x:c>
      <x:c r="F8" s="3" t="inlineStr">
        <x:is>
          <x:t xml:space="preserve">trilocale</x:t>
        </x:is>
      </x:c>
      <x:c r="G8" s="3" t="inlineStr">
        <x:is>
          <x:t xml:space="preserve">Trilocale 75 m²</x:t>
        </x:is>
      </x:c>
    </x:row>
    <x:row r="9">
      <x:c r="A9" s="7" t="n">
        <x:v>275000</x:v>
      </x:c>
      <x:c r="B9" s="8" t="n">
        <x:v>85</x:v>
      </x:c>
      <x:c r="C9" s="7" t="n">
        <x:v>3235.294117647059</x:v>
      </x:c>
      <x:c r="D9" s="3" t="inlineStr">
        <x:is>
          <x:t xml:space="preserve">via lu cumitoni 1, area baja sardinia, arzachena</x:t>
        </x:is>
      </x:c>
      <x:c r="E9" s="3" t="inlineStr">
        <x:is>
          <x:t xml:space="preserve">villaggio faras</x:t>
        </x:is>
      </x:c>
      <x:c r="F9" s="3" t="inlineStr">
        <x:is>
          <x:t xml:space="preserve">bilocale</x:t>
        </x:is>
      </x:c>
      <x:c r="G9" s="3" t="inlineStr">
        <x:is>
          <x:t xml:space="preserve">Bilocale 85 m²</x:t>
        </x:is>
      </x:c>
    </x:row>
    <x:row r="10">
      <x:c r="A10" s="7" t="n">
        <x:v>340000</x:v>
      </x:c>
      <x:c r="B10" s="8" t="n">
        <x:v>129</x:v>
      </x:c>
      <x:c r="C10" s="7" t="n">
        <x:v>2635.658914728682</x:v>
      </x:c>
      <x:c r="D10" s="3" t="inlineStr">
        <x:is>
          <x:t xml:space="preserve">area baja sardinia</x:t>
        </x:is>
      </x:c>
      <x:c r="E10" s="3" t="inlineStr">
        <x:is>
          <x:t xml:space="preserve">baja sardinia</x:t>
        </x:is>
      </x:c>
      <x:c r="F10" s="3" t="inlineStr">
        <x:is>
          <x:t xml:space="preserve">trilocale</x:t>
        </x:is>
      </x:c>
      <x:c r="G10" s="3" t="inlineStr">
        <x:is>
          <x:t xml:space="preserve">Trilocale 129 m²</x:t>
        </x:is>
      </x:c>
    </x:row>
    <x:row r="11">
      <x:c r="A11" s="7" t="n">
        <x:v>380000</x:v>
      </x:c>
      <x:c r="B11" s="8" t="n">
        <x:v>80</x:v>
      </x:c>
      <x:c r="C11" s="7" t="n">
        <x:v>4750</x:v>
      </x:c>
      <x:c r="D11" s="3" t="inlineStr">
        <x:is>
          <x:t xml:space="preserve">centro s.n.c, area baja sardinia, arzachena</x:t>
        </x:is>
      </x:c>
      <x:c r="E11" s="3" t="inlineStr">
        <x:is>
          <x:t xml:space="preserve">baja sardinia</x:t>
        </x:is>
      </x:c>
      <x:c r="F11" s="3" t="inlineStr">
        <x:is>
          <x:t xml:space="preserve">villetta a schiera</x:t>
        </x:is>
      </x:c>
      <x:c r="G11" s="3" t="inlineStr">
        <x:is>
          <x:t xml:space="preserve">Villetta 80 m²</x:t>
        </x:is>
      </x:c>
    </x:row>
    <x:row r="12">
      <x:c r="A12" s="7" t="n">
        <x:v>429000</x:v>
      </x:c>
      <x:c r="B12" s="8" t="n">
        <x:v>110</x:v>
      </x:c>
      <x:c r="C12" s="7" t="n">
        <x:v>3900</x:v>
      </x:c>
      <x:c r="D12" s="3" t="inlineStr">
        <x:is>
          <x:t xml:space="preserve">via del porto, 2, area baja sardinia, arzachena</x:t>
        </x:is>
      </x:c>
      <x:c r="E12" s="3" t="inlineStr">
        <x:is>
          <x:t xml:space="preserve">cala bitta</x:t>
        </x:is>
      </x:c>
      <x:c r="F12" s="3" t="inlineStr">
        <x:is>
          <x:t xml:space="preserve">villetta a schiera</x:t>
        </x:is>
      </x:c>
      <x:c r="G12" s="3" t="inlineStr">
        <x:is>
          <x:t xml:space="preserve">Villetta a schiera 110 m²</x:t>
        </x:is>
      </x:c>
    </x:row>
    <x:row r="13">
      <x:c r="A13" s="7" t="n">
        <x:v>429000</x:v>
      </x:c>
      <x:c r="B13" s="8" t="n">
        <x:v>110</x:v>
      </x:c>
      <x:c r="C13" s="7" t="n">
        <x:v>3900</x:v>
      </x:c>
      <x:c r="D13" s="3" t="inlineStr">
        <x:is>
          <x:t xml:space="preserve">località cala bitta, baja sardinia, arzachena</x:t>
        </x:is>
      </x:c>
      <x:c r="E13" s="3" t="inlineStr">
        <x:is>
          <x:t xml:space="preserve">cala bitta</x:t>
        </x:is>
      </x:c>
      <x:c r="F13" s="3" t="inlineStr">
        <x:is>
          <x:t xml:space="preserve">villa a schiera</x:t>
        </x:is>
      </x:c>
      <x:c r="G13" s="3" t="inlineStr">
        <x:is>
          <x:t xml:space="preserve">Villa 110 m²</x:t>
        </x:is>
      </x:c>
    </x:row>
    <x:row r="14">
      <x:c r="A14" s="7" t="n">
        <x:v>449000</x:v>
      </x:c>
      <x:c r="B14" s="8" t="n">
        <x:v>105</x:v>
      </x:c>
      <x:c r="C14" s="7" t="n">
        <x:v>4276.190476190476</x:v>
      </x:c>
      <x:c r="D14" s="3" t="inlineStr">
        <x:is>
          <x:t xml:space="preserve">la crucitta s.n.c, area baja sardinia, arzachena</x:t>
        </x:is>
      </x:c>
      <x:c r="E14" s="3" t="inlineStr">
        <x:is>
          <x:t xml:space="preserve">la crucitta</x:t>
        </x:is>
      </x:c>
      <x:c r="F14" s="3" t="inlineStr">
        <x:is>
          <x:t xml:space="preserve">villetta a schiera</x:t>
        </x:is>
      </x:c>
      <x:c r="G14" s="3" t="inlineStr">
        <x:is>
          <x:t xml:space="preserve">Villino di testa 105 m²</x:t>
        </x:is>
      </x:c>
    </x:row>
    <x:row r="15">
      <x:c r="A15" s="7" t="n">
        <x:v>449000</x:v>
      </x:c>
      <x:c r="B15" s="8" t="n">
        <x:v>105</x:v>
      </x:c>
      <x:c r="C15" s="7" t="n">
        <x:v>4276.190476190476</x:v>
      </x:c>
      <x:c r="D15" s="3" t="inlineStr">
        <x:is>
          <x:t xml:space="preserve">la crucitta, baja sardinia, arzachena</x:t>
        </x:is>
      </x:c>
      <x:c r="E15" s="3" t="inlineStr">
        <x:is>
          <x:t xml:space="preserve">la crucitta</x:t>
        </x:is>
      </x:c>
      <x:c r="F15" s="3" t="inlineStr">
        <x:is>
          <x:t xml:space="preserve">villa a schiera</x:t>
        </x:is>
      </x:c>
      <x:c r="G15" s="3" t="inlineStr">
        <x:is>
          <x:t xml:space="preserve">Villino 105 m²</x:t>
        </x:is>
      </x:c>
    </x:row>
    <x:row r="16">
      <x:c r="A16" s="7" t="n">
        <x:v>450000</x:v>
      </x:c>
      <x:c r="B16" s="8" t="n">
        <x:v>95</x:v>
      </x:c>
      <x:c r="C16" s="7" t="n">
        <x:v>4736.842105263157</x:v>
      </x:c>
      <x:c r="D16" s="3" t="inlineStr">
        <x:is>
          <x:t xml:space="preserve">via giuseppe salaris s.n.c, area baja sardinia, arzachena</x:t>
        </x:is>
      </x:c>
      <x:c r="E16" s="3" t="inlineStr">
        <x:is>
          <x:t xml:space="preserve">la crucitta</x:t>
        </x:is>
      </x:c>
      <x:c r="F16" s="3" t="inlineStr">
        <x:is>
          <x:t xml:space="preserve">villetta a schiera</x:t>
        </x:is>
      </x:c>
      <x:c r="G16" s="3" t="inlineStr">
        <x:is>
          <x:t xml:space="preserve">Villino 95 m²</x:t>
        </x:is>
      </x:c>
    </x:row>
    <x:row r="17">
      <x:c r="A17" s="7" t="n">
        <x:v>450000</x:v>
      </x:c>
      <x:c r="B17" s="8" t="n">
        <x:v>95</x:v>
      </x:c>
      <x:c r="C17" s="7" t="n">
        <x:v>4736.842105263157</x:v>
      </x:c>
      <x:c r="D17" s="3" t="inlineStr">
        <x:is>
          <x:t xml:space="preserve">via giuseppe salaris, baja sardinia, arzachena</x:t>
        </x:is>
      </x:c>
      <x:c r="E17" s="3" t="inlineStr">
        <x:is>
          <x:t xml:space="preserve">via giuseppe salaris</x:t>
        </x:is>
      </x:c>
      <x:c r="F17" s="3" t="inlineStr">
        <x:is>
          <x:t xml:space="preserve">villa a schiera</x:t>
        </x:is>
      </x:c>
      <x:c r="G17" s="3" t="inlineStr">
        <x:is>
          <x:t xml:space="preserve">Villino 95 m²</x:t>
        </x:is>
      </x:c>
    </x:row>
    <x:row r="18">
      <x:c r="A18" s="13" t="n">
        <x:v>465000</x:v>
      </x:c>
      <x:c r="B18" s="14" t="n">
        <x:v>100</x:v>
      </x:c>
      <x:c r="C18" s="13" t="n">
        <x:v>4650</x:v>
      </x:c>
      <x:c r="D18" s="11" t="inlineStr">
        <x:is>
          <x:t xml:space="preserve">villaggio palma, baja sardinia, arzachena</x:t>
        </x:is>
      </x:c>
      <x:c r="E18" s="11" t="inlineStr">
        <x:is>
          <x:t xml:space="preserve">villaggio palma</x:t>
        </x:is>
      </x:c>
      <x:c r="F18" s="11" t="inlineStr">
        <x:is>
          <x:t xml:space="preserve">villa a schiera</x:t>
        </x:is>
      </x:c>
      <x:c r="G18" s="11" t="inlineStr">
        <x:is>
          <x:t xml:space="preserve">Villetta 100 m²</x:t>
        </x:is>
      </x:c>
    </x:row>
    <x:row r="19">
      <x:c r="A19" s="13" t="n">
        <x:v>465000</x:v>
      </x:c>
      <x:c r="B19" s="14" t="n">
        <x:v>100</x:v>
      </x:c>
      <x:c r="C19" s="13" t="n">
        <x:v>4650</x:v>
      </x:c>
      <x:c r="D19" s="11" t="inlineStr">
        <x:is>
          <x:t xml:space="preserve">via cala bitta</x:t>
        </x:is>
      </x:c>
      <x:c r="E19" s="11" t="inlineStr">
        <x:is>
          <x:t xml:space="preserve">via cala bitta</x:t>
        </x:is>
      </x:c>
      <x:c r="F19" s="11" t="inlineStr">
        <x:is>
          <x:t xml:space="preserve">villa</x:t>
        </x:is>
      </x:c>
      <x:c r="G19" s="11" t="inlineStr">
        <x:is>
          <x:t xml:space="preserve">Villa 100 m²</x:t>
        </x:is>
      </x:c>
    </x:row>
    <x:row r="20">
      <x:c r="A20" s="13" t="n">
        <x:v>465000</x:v>
      </x:c>
      <x:c r="B20" s="14" t="n">
        <x:v>108</x:v>
      </x:c>
      <x:c r="C20" s="13" t="n">
        <x:v>4305.555555555556</x:v>
      </x:c>
      <x:c r="D20" s="11" t="inlineStr">
        <x:is>
          <x:t xml:space="preserve">via darsena, 9, area baja sardinia, arzachena</x:t>
        </x:is>
      </x:c>
      <x:c r="E20" s="11" t="inlineStr">
        <x:is>
          <x:t xml:space="preserve">via darsena</x:t>
        </x:is>
      </x:c>
      <x:c r="F20" s="11" t="inlineStr">
        <x:is>
          <x:t xml:space="preserve">villetta bifamiliare</x:t>
        </x:is>
      </x:c>
      <x:c r="G20" s="11" t="inlineStr">
        <x:is>
          <x:t xml:space="preserve">Villetta 108 m²</x:t>
        </x:is>
      </x:c>
    </x:row>
    <x:row r="21">
      <x:c r="A21" s="13" t="n">
        <x:v>465000</x:v>
      </x:c>
      <x:c r="B21" s="14" t="n">
        <x:v>108</x:v>
      </x:c>
      <x:c r="C21" s="13" t="n">
        <x:v>4305.555555555556</x:v>
      </x:c>
      <x:c r="D21" s="11" t="inlineStr">
        <x:is>
          <x:t xml:space="preserve">via darsena 9, baja sardinia, arzachena</x:t>
        </x:is>
      </x:c>
      <x:c r="E21" s="11" t="inlineStr">
        <x:is>
          <x:t xml:space="preserve">via darsena</x:t>
        </x:is>
      </x:c>
      <x:c r="F21" s="11" t="inlineStr">
        <x:is>
          <x:t xml:space="preserve">villa bifamiliare</x:t>
        </x:is>
      </x:c>
      <x:c r="G21" s="11" t="inlineStr">
        <x:is>
          <x:t xml:space="preserve">Villa 108 m²</x:t>
        </x:is>
      </x:c>
    </x:row>
    <x:row r="22">
      <x:c r="A22" s="13" t="n">
        <x:v>465000</x:v>
      </x:c>
      <x:c r="B22" s="14" t="n">
        <x:v>140</x:v>
      </x:c>
      <x:c r="C22" s="13" t="n">
        <x:v>3321.428571428572</x:v>
      </x:c>
      <x:c r="D22" s="11" t="inlineStr">
        <x:is>
          <x:t xml:space="preserve">via darsena s.n.c, area baja sardinia, arzachena</x:t>
        </x:is>
      </x:c>
      <x:c r="E22" s="11" t="inlineStr">
        <x:is>
          <x:t xml:space="preserve">via darsena</x:t>
        </x:is>
      </x:c>
      <x:c r="F22" s="11" t="inlineStr">
        <x:is>
          <x:t xml:space="preserve">villetta bifamiliare</x:t>
        </x:is>
      </x:c>
      <x:c r="G22" s="11" t="inlineStr">
        <x:is>
          <x:t xml:space="preserve">Villetta caposchiera 140 m²</x:t>
        </x:is>
      </x:c>
    </x:row>
    <x:row r="23">
      <x:c r="A23" s="13" t="n">
        <x:v>499000</x:v>
      </x:c>
      <x:c r="B23" s="14" t="n">
        <x:v>100</x:v>
      </x:c>
      <x:c r="C23" s="13" t="n">
        <x:v>4990</x:v>
      </x:c>
      <x:c r="D23" s="11" t="inlineStr">
        <x:is>
          <x:t xml:space="preserve">via cala bitta s.n.c, area baja sardinia, arzachena</x:t>
        </x:is>
      </x:c>
      <x:c r="E23" s="11" t="inlineStr">
        <x:is>
          <x:t xml:space="preserve">via cala bitta</x:t>
        </x:is>
      </x:c>
      <x:c r="F23" s="11" t="inlineStr">
        <x:is>
          <x:t xml:space="preserve">casa indipendente</x:t>
        </x:is>
      </x:c>
      <x:c r="G23" s="11" t="inlineStr">
        <x:is>
          <x:t xml:space="preserve">Villino Casa Sole 100 m²</x:t>
        </x:is>
      </x:c>
    </x:row>
    <x:row r="24">
      <x:c r="A24" s="13" t="n">
        <x:v>500000</x:v>
      </x:c>
      <x:c r="B24" s="14" t="n">
        <x:v>90</x:v>
      </x:c>
      <x:c r="C24" s="13" t="n">
        <x:v>5555.555555555556</x:v>
      </x:c>
      <x:c r="D24" s="11" t="inlineStr">
        <x:is>
          <x:t xml:space="preserve">baja sardinia</x:t>
        </x:is>
      </x:c>
      <x:c r="E24" s="11" t="inlineStr">
        <x:is>
          <x:t xml:space="preserve">baja sardinia</x:t>
        </x:is>
      </x:c>
      <x:c r="F24" s="11" t="inlineStr">
        <x:is>
          <x:t xml:space="preserve">villa unifamiliare</x:t>
        </x:is>
      </x:c>
      <x:c r="G24" s="11" t="inlineStr">
        <x:is>
          <x:t xml:space="preserve">Villa unifamiliare 90 m²</x:t>
        </x:is>
      </x:c>
    </x:row>
    <x:row r="25">
      <x:c r="A25" s="13" t="n">
        <x:v>500000</x:v>
      </x:c>
      <x:c r="B25" s="14" t="n">
        <x:v>137</x:v>
      </x:c>
      <x:c r="C25" s="13" t="n">
        <x:v>3649.63503649635</x:v>
      </x:c>
      <x:c r="D25" s="11" t="inlineStr">
        <x:is>
          <x:t xml:space="preserve">via giuseppe salaris s.n.c, area baja sardinia, arzachena</x:t>
        </x:is>
      </x:c>
      <x:c r="E25" s="11" t="inlineStr">
        <x:is>
          <x:t xml:space="preserve">mucchi bianchi</x:t>
        </x:is>
      </x:c>
      <x:c r="F25" s="11" t="inlineStr">
        <x:is>
          <x:t xml:space="preserve">villa</x:t>
        </x:is>
      </x:c>
      <x:c r="G25" s="11" t="inlineStr">
        <x:is>
          <x:t xml:space="preserve">Villa indipendente 137 m²</x:t>
        </x:is>
      </x:c>
    </x:row>
    <x:row r="26">
      <x:c r="A26" s="13" t="n">
        <x:v>530000</x:v>
      </x:c>
      <x:c r="B26" s="14" t="n">
        <x:v>120</x:v>
      </x:c>
      <x:c r="C26" s="13" t="n">
        <x:v>4416.666666666667</x:v>
      </x:c>
      <x:c r="D26" s="11" t="inlineStr">
        <x:is>
          <x:t xml:space="preserve">via delle rose 303, area baja sardinia, arzachena</x:t>
        </x:is>
      </x:c>
      <x:c r="E26" s="11" t="inlineStr">
        <x:is>
          <x:t xml:space="preserve">via delle rose</x:t>
        </x:is>
      </x:c>
      <x:c r="F26" s="11" t="inlineStr">
        <x:is>
          <x:t xml:space="preserve">appartamento</x:t>
        </x:is>
      </x:c>
      <x:c r="G26" s="11" t="inlineStr">
        <x:is>
          <x:t xml:space="preserve">Appartamento 120 m²</x:t>
        </x:is>
      </x:c>
    </x:row>
    <x:row r="27">
      <x:c r="A27" s="13" t="n">
        <x:v>530000</x:v>
      </x:c>
      <x:c r="B27" s="14" t="n">
        <x:v>120</x:v>
      </x:c>
      <x:c r="C27" s="13" t="n">
        <x:v>4416.666666666667</x:v>
      </x:c>
      <x:c r="D27" s="11" t="inlineStr">
        <x:is>
          <x:t xml:space="preserve">via pulicinu s.n.c, area baja sardinia, arzachena</x:t>
        </x:is>
      </x:c>
      <x:c r="E27" s="11" t="inlineStr">
        <x:is>
          <x:t xml:space="preserve">pulicinu</x:t>
        </x:is>
      </x:c>
      <x:c r="F27" s="11" t="inlineStr">
        <x:is>
          <x:t xml:space="preserve">villa</x:t>
        </x:is>
      </x:c>
      <x:c r="G27" s="11" t="inlineStr">
        <x:is>
          <x:t xml:space="preserve">Villa 120 m²</x:t>
        </x:is>
      </x:c>
    </x:row>
    <x:row r="28">
      <x:c r="A28" s="13" t="n">
        <x:v>540000</x:v>
      </x:c>
      <x:c r="B28" s="14" t="n">
        <x:v>143</x:v>
      </x:c>
      <x:c r="C28" s="13" t="n">
        <x:v>3776.223776223776</x:v>
      </x:c>
      <x:c r="D28" s="11" t="inlineStr">
        <x:is>
          <x:t xml:space="preserve">via darsena, baja sardinia, arzachena</x:t>
        </x:is>
      </x:c>
      <x:c r="E28" s="11" t="inlineStr">
        <x:is>
          <x:t xml:space="preserve">via darsena</x:t>
        </x:is>
      </x:c>
      <x:c r="F28" s="11" t="inlineStr">
        <x:is>
          <x:t xml:space="preserve">villa a schiera</x:t>
        </x:is>
      </x:c>
      <x:c r="G28" s="11" t="inlineStr">
        <x:is>
          <x:t xml:space="preserve">Villa 143 m²</x:t>
        </x:is>
      </x:c>
    </x:row>
    <x:row r="29">
      <x:c r="A29" s="13" t="n">
        <x:v>590000</x:v>
      </x:c>
      <x:c r="B29" s="14" t="n">
        <x:v>100</x:v>
      </x:c>
      <x:c r="C29" s="13" t="n">
        <x:v>5900</x:v>
      </x:c>
      <x:c r="D29" s="11" t="inlineStr">
        <x:is>
          <x:t xml:space="preserve">località baja sardinia, cala bitta</x:t>
        </x:is>
      </x:c>
      <x:c r="E29" s="11" t="inlineStr">
        <x:is>
          <x:t xml:space="preserve">baja sardinia / cala bitta</x:t>
        </x:is>
      </x:c>
      <x:c r="F29" s="11" t="inlineStr">
        <x:is>
          <x:t xml:space="preserve">villa a schiera</x:t>
        </x:is>
      </x:c>
      <x:c r="G29" s="11" t="inlineStr">
        <x:is>
          <x:t xml:space="preserve">Villino Cala Bitta</x:t>
        </x:is>
      </x:c>
    </x:row>
    <x:row r="30">
      <x:c r="A30" s="13" t="n">
        <x:v>590000</x:v>
      </x:c>
      <x:c r="B30" s="14" t="n">
        <x:v>100</x:v>
      </x:c>
      <x:c r="C30" s="13" t="n">
        <x:v>5900</x:v>
      </x:c>
      <x:c r="D30" s="11" t="inlineStr">
        <x:is>
          <x:t xml:space="preserve">villaggio palma, baja sardinia, arzachena</x:t>
        </x:is>
      </x:c>
      <x:c r="E30" s="11" t="inlineStr">
        <x:is>
          <x:t xml:space="preserve">villaggio palma</x:t>
        </x:is>
      </x:c>
      <x:c r="F30" s="11" t="inlineStr">
        <x:is>
          <x:t xml:space="preserve">villa</x:t>
        </x:is>
      </x:c>
      <x:c r="G30" s="11" t="inlineStr">
        <x:is>
          <x:t xml:space="preserve">Villa 100 m²</x:t>
        </x:is>
      </x:c>
    </x:row>
    <x:row r="31">
      <x:c r="A31" s="13" t="n">
        <x:v>590000</x:v>
      </x:c>
      <x:c r="B31" s="14" t="n">
        <x:v>110</x:v>
      </x:c>
      <x:c r="C31" s="13" t="n">
        <x:v>5363.636363636364</x:v>
      </x:c>
      <x:c r="D31" s="11" t="inlineStr">
        <x:is>
          <x:t xml:space="preserve">via darsena</x:t>
        </x:is>
      </x:c>
      <x:c r="E31" s="11" t="inlineStr">
        <x:is>
          <x:t xml:space="preserve">via darsena</x:t>
        </x:is>
      </x:c>
      <x:c r="F31" s="11" t="inlineStr">
        <x:is>
          <x:t xml:space="preserve">villa</x:t>
        </x:is>
      </x:c>
      <x:c r="G31" s="11" t="inlineStr">
        <x:is>
          <x:t xml:space="preserve">Villa 110 m²</x:t>
        </x:is>
      </x:c>
    </x:row>
    <x:row r="32">
      <x:c r="A32" s="13" t="n">
        <x:v>620000</x:v>
      </x:c>
      <x:c r="B32" s="14" t="n">
        <x:v>100</x:v>
      </x:c>
      <x:c r="C32" s="13" t="n">
        <x:v>6200</x:v>
      </x:c>
      <x:c r="D32" s="11" t="inlineStr">
        <x:is>
          <x:t xml:space="preserve">via tre monti, area baja sardinia, arzachena</x:t>
        </x:is>
      </x:c>
      <x:c r="E32" s="11" t="inlineStr">
        <x:is>
          <x:t xml:space="preserve">via tre monti</x:t>
        </x:is>
      </x:c>
      <x:c r="F32" s="11" t="inlineStr">
        <x:is>
          <x:t xml:space="preserve">villetta a schiera</x:t>
        </x:is>
      </x:c>
      <x:c r="G32" s="11" t="inlineStr">
        <x:is>
          <x:t xml:space="preserve">Villetta 100 m²</x:t>
        </x:is>
      </x:c>
    </x:row>
    <x:row r="33">
      <x:c r="A33" s="13" t="n">
        <x:v>620000</x:v>
      </x:c>
      <x:c r="B33" s="14" t="n">
        <x:v>130</x:v>
      </x:c>
      <x:c r="C33" s="13" t="n">
        <x:v>4769.23076923077</x:v>
      </x:c>
      <x:c r="D33" s="11" t="str">
        <x:v>Subject Villa (Address Withheld)</x:v>
      </x:c>
      <x:c r="E33" s="11" t="str">
        <x:v>Subject Villa</x:v>
      </x:c>
      <x:c r="F33" s="11" t="inlineStr">
        <x:is>
          <x:t xml:space="preserve">villetta bifamiliare</x:t>
        </x:is>
      </x:c>
      <x:c r="G33" s="11" t="str">
        <x:v>Subject property — reference observation</x:v>
      </x:c>
    </x:row>
    <x:row r="34">
      <x:c r="A34" s="13" t="n">
        <x:v>650000</x:v>
      </x:c>
      <x:c r="B34" s="14" t="n">
        <x:v>200</x:v>
      </x:c>
      <x:c r="C34" s="13" t="n">
        <x:v>3250</x:v>
      </x:c>
      <x:c r="D34" s="11" t="inlineStr">
        <x:is>
          <x:t xml:space="preserve">via belvedere s.n.c, area baja sardinia, arzachena</x:t>
        </x:is>
      </x:c>
      <x:c r="E34" s="11" t="inlineStr">
        <x:is>
          <x:t xml:space="preserve">via belvedere</x:t>
        </x:is>
      </x:c>
      <x:c r="F34" s="11" t="inlineStr">
        <x:is>
          <x:t xml:space="preserve">villetta a schiera</x:t>
        </x:is>
      </x:c>
      <x:c r="G34" s="11" t="inlineStr">
        <x:is>
          <x:t xml:space="preserve">Villetta 200 m²</x:t>
        </x:is>
      </x:c>
    </x:row>
    <x:row r="35">
      <x:c r="A35" s="13" t="n">
        <x:v>690000</x:v>
      </x:c>
      <x:c r="B35" s="14" t="n">
        <x:v>179</x:v>
      </x:c>
      <x:c r="C35" s="13" t="n">
        <x:v>3854.748603351955</x:v>
      </x:c>
      <x:c r="D35" s="11" t="inlineStr">
        <x:is>
          <x:t xml:space="preserve">via cala battistoni s.n.c, area baja sardinia, arzachena</x:t>
        </x:is>
      </x:c>
      <x:c r="E35" s="11" t="inlineStr">
        <x:is>
          <x:t xml:space="preserve">via cala battistoni</x:t>
        </x:is>
      </x:c>
      <x:c r="F35" s="11" t="inlineStr">
        <x:is>
          <x:t xml:space="preserve">villetta a schiera</x:t>
        </x:is>
      </x:c>
      <x:c r="G35" s="11" t="inlineStr">
        <x:is>
          <x:t xml:space="preserve">Villetta 179 m²</x:t>
        </x:is>
      </x:c>
    </x:row>
    <x:row r="36">
      <x:c r="A36" s="13" t="n">
        <x:v>700000</x:v>
      </x:c>
      <x:c r="B36" s="14" t="n">
        <x:v>105</x:v>
      </x:c>
      <x:c r="C36" s="13" t="n">
        <x:v>6666.666666666667</x:v>
      </x:c>
      <x:c r="D36" s="11" t="inlineStr">
        <x:is>
          <x:t xml:space="preserve">via dei pini s.n.c, area baja sardinia, arzachena</x:t>
        </x:is>
      </x:c>
      <x:c r="E36" s="11" t="inlineStr">
        <x:is>
          <x:t xml:space="preserve">via dei pini</x:t>
        </x:is>
      </x:c>
      <x:c r="F36" s="11" t="inlineStr">
        <x:is>
          <x:t xml:space="preserve">attico</x:t>
        </x:is>
      </x:c>
      <x:c r="G36" s="11" t="inlineStr">
        <x:is>
          <x:t xml:space="preserve">Attico indipendente 105 m²</x:t>
        </x:is>
      </x:c>
    </x:row>
    <x:row r="37">
      <x:c r="A37" s="13" t="n">
        <x:v>750000</x:v>
      </x:c>
      <x:c r="B37" s="14" t="n">
        <x:v>124</x:v>
      </x:c>
      <x:c r="C37" s="13" t="n">
        <x:v>6048.387096774193</x:v>
      </x:c>
      <x:c r="D37" s="11" t="inlineStr">
        <x:is>
          <x:t xml:space="preserve">via del maestrale, area baja sardinia, arzachena</x:t>
        </x:is>
      </x:c>
      <x:c r="E37" s="11" t="inlineStr">
        <x:is>
          <x:t xml:space="preserve">via del maestrale</x:t>
        </x:is>
      </x:c>
      <x:c r="F37" s="11" t="inlineStr">
        <x:is>
          <x:t xml:space="preserve">quadrilocale</x:t>
        </x:is>
      </x:c>
      <x:c r="G37" s="11" t="inlineStr">
        <x:is>
          <x:t xml:space="preserve">Quadrilocale 124 m²</x:t>
        </x:is>
      </x:c>
    </x:row>
    <x:row r="38">
      <x:c r="A38" s="13" t="n">
        <x:v>800000</x:v>
      </x:c>
      <x:c r="B38" s="14" t="n">
        <x:v>60</x:v>
      </x:c>
      <x:c r="C38" s="13" t="n">
        <x:v>13333.33333333333</x:v>
      </x:c>
      <x:c r="D38" s="11" t="inlineStr">
        <x:is>
          <x:t xml:space="preserve">via mucchi bianchi, baja sardinia, arzachena</x:t>
        </x:is>
      </x:c>
      <x:c r="E38" s="11" t="inlineStr">
        <x:is>
          <x:t xml:space="preserve">via mucchi bianchi</x:t>
        </x:is>
      </x:c>
      <x:c r="F38" s="11" t="inlineStr">
        <x:is>
          <x:t xml:space="preserve">villa unifamiliare</x:t>
        </x:is>
      </x:c>
      <x:c r="G38" s="11" t="inlineStr">
        <x:is>
          <x:t xml:space="preserve">Villa 60 m²</x:t>
        </x:is>
      </x:c>
    </x:row>
    <x:row r="39">
      <x:c r="A39" s="13" t="n">
        <x:v>870000</x:v>
      </x:c>
      <x:c r="B39" s="14" t="n">
        <x:v>150</x:v>
      </x:c>
      <x:c r="C39" s="13" t="n">
        <x:v>5800</x:v>
      </x:c>
      <x:c r="D39" s="11" t="inlineStr">
        <x:is>
          <x:t xml:space="preserve">ea bianca, baja sardinia, arzachena</x:t>
        </x:is>
      </x:c>
      <x:c r="E39" s="11" t="inlineStr">
        <x:is>
          <x:t xml:space="preserve">ea bianca</x:t>
        </x:is>
      </x:c>
      <x:c r="F39" s="11" t="inlineStr">
        <x:is>
          <x:t xml:space="preserve">villa / stazzo</x:t>
        </x:is>
      </x:c>
      <x:c r="G39" s="11" t="inlineStr">
        <x:is>
          <x:t xml:space="preserve">Stazzo 150 m²</x:t>
        </x:is>
      </x:c>
    </x:row>
    <x:row r="40">
      <x:c r="A40" s="13" t="n">
        <x:v>890000</x:v>
      </x:c>
      <x:c r="B40" s="14" t="n">
        <x:v>114</x:v>
      </x:c>
      <x:c r="C40" s="13" t="n">
        <x:v>7807.017543859649</x:v>
      </x:c>
      <x:c r="D40" s="11" t="inlineStr">
        <x:is>
          <x:t xml:space="preserve">baja sardinia</x:t>
        </x:is>
      </x:c>
      <x:c r="E40" s="11" t="inlineStr">
        <x:is>
          <x:t xml:space="preserve">baja sardinia</x:t>
        </x:is>
      </x:c>
      <x:c r="F40" s="11" t="inlineStr">
        <x:is>
          <x:t xml:space="preserve">villa</x:t>
        </x:is>
      </x:c>
      <x:c r="G40" s="11" t="inlineStr">
        <x:is>
          <x:t xml:space="preserve">Villa 114 m²</x:t>
        </x:is>
      </x:c>
    </x:row>
    <x:row r="41">
      <x:c r="A41" s="13" t="n">
        <x:v>890000</x:v>
      </x:c>
      <x:c r="B41" s="14" t="n">
        <x:v>135</x:v>
      </x:c>
      <x:c r="C41" s="13" t="n">
        <x:v>6592.592592592592</x:v>
      </x:c>
      <x:c r="D41" s="11" t="inlineStr">
        <x:is>
          <x:t xml:space="preserve">contrada del sole, area baja sardinia, arzachena</x:t>
        </x:is>
      </x:c>
      <x:c r="E41" s="11" t="inlineStr">
        <x:is>
          <x:t xml:space="preserve">contrada del sole</x:t>
        </x:is>
      </x:c>
      <x:c r="F41" s="11" t="inlineStr">
        <x:is>
          <x:t xml:space="preserve">casa indipendente / villa</x:t>
        </x:is>
      </x:c>
      <x:c r="G41" s="11" t="inlineStr">
        <x:is>
          <x:t xml:space="preserve">Casa indipendente 135 m²</x:t>
        </x:is>
      </x:c>
    </x:row>
    <x:row r="42">
      <x:c r="A42" s="13" t="n">
        <x:v>890000</x:v>
      </x:c>
      <x:c r="B42" s="14" t="n">
        <x:v>135</x:v>
      </x:c>
      <x:c r="C42" s="13" t="n">
        <x:v>6592.592592592592</x:v>
      </x:c>
      <x:c r="D42" s="11" t="inlineStr">
        <x:is>
          <x:t xml:space="preserve">contrada del sole, baja sardinia, arzachena</x:t>
        </x:is>
      </x:c>
      <x:c r="E42" s="11" t="inlineStr">
        <x:is>
          <x:t xml:space="preserve">contrada del sole</x:t>
        </x:is>
      </x:c>
      <x:c r="F42" s="11" t="inlineStr">
        <x:is>
          <x:t xml:space="preserve">villa</x:t>
        </x:is>
      </x:c>
      <x:c r="G42" s="11" t="inlineStr">
        <x:is>
          <x:t xml:space="preserve">Villa 135 m²</x:t>
        </x:is>
      </x:c>
    </x:row>
    <x:row r="43">
      <x:c r="A43" s="13" t="n">
        <x:v>950000</x:v>
      </x:c>
      <x:c r="B43" s="14" t="n">
        <x:v>175</x:v>
      </x:c>
      <x:c r="C43" s="13" t="n">
        <x:v>5428.571428571428</x:v>
      </x:c>
      <x:c r="D43" s="11" t="inlineStr">
        <x:is>
          <x:t xml:space="preserve">via tre monti s.n.c, area baja sardinia, arzachena</x:t>
        </x:is>
      </x:c>
      <x:c r="E43" s="11" t="inlineStr">
        <x:is>
          <x:t xml:space="preserve">baja sardinia / i cormorani</x:t>
        </x:is>
      </x:c>
      <x:c r="F43" s="11" t="inlineStr">
        <x:is>
          <x:t xml:space="preserve">appartamento in villa</x:t>
        </x:is>
      </x:c>
      <x:c r="G43" s="11" t="inlineStr">
        <x:is>
          <x:t xml:space="preserve">Residence I Cormorani, 175 m²</x:t>
        </x:is>
      </x:c>
    </x:row>
    <x:row r="44">
      <x:c r="A44" s="13" t="n">
        <x:v>990000</x:v>
      </x:c>
      <x:c r="B44" s="14" t="n">
        <x:v>160</x:v>
      </x:c>
      <x:c r="C44" s="13" t="n">
        <x:v>6187.5</x:v>
      </x:c>
      <x:c r="D44" s="11" t="inlineStr">
        <x:is>
          <x:t xml:space="preserve">cala dei ginepri s.n.c, area baja sardinia, arzachena</x:t>
        </x:is>
      </x:c>
      <x:c r="E44" s="11" t="inlineStr">
        <x:is>
          <x:t xml:space="preserve">ea bianca / cala dei ginepri</x:t>
        </x:is>
      </x:c>
      <x:c r="F44" s="11" t="inlineStr">
        <x:is>
          <x:t xml:space="preserve">villa</x:t>
        </x:is>
      </x:c>
      <x:c r="G44" s="11" t="inlineStr">
        <x:is>
          <x:t xml:space="preserve">Villa 160 m²</x:t>
        </x:is>
      </x:c>
    </x:row>
    <x:row r="45">
      <x:c r="A45" s="13" t="n">
        <x:v>1100000</x:v>
      </x:c>
      <x:c r="B45" s="14" t="n">
        <x:v>230</x:v>
      </x:c>
      <x:c r="C45" s="13" t="n">
        <x:v>4782.608695652174</x:v>
      </x:c>
      <x:c r="D45" s="11" t="inlineStr">
        <x:is>
          <x:t xml:space="preserve">via micalacciu, baja sardinia, arzachena</x:t>
        </x:is>
      </x:c>
      <x:c r="E45" s="11" t="inlineStr">
        <x:is>
          <x:t xml:space="preserve">via micalacciu</x:t>
        </x:is>
      </x:c>
      <x:c r="F45" s="11" t="inlineStr">
        <x:is>
          <x:t xml:space="preserve">villa</x:t>
        </x:is>
      </x:c>
      <x:c r="G45" s="11" t="inlineStr">
        <x:is>
          <x:t xml:space="preserve">Villa 230 m²</x:t>
        </x:is>
      </x:c>
    </x:row>
    <x:row r="46">
      <x:c r="A46" s="13" t="n">
        <x:v>1100000</x:v>
      </x:c>
      <x:c r="B46" s="14" t="n">
        <x:v>230</x:v>
      </x:c>
      <x:c r="C46" s="13" t="n">
        <x:v>4782.608695652174</x:v>
      </x:c>
      <x:c r="D46" s="11" t="inlineStr">
        <x:is>
          <x:t xml:space="preserve">baja sardinia</x:t>
        </x:is>
      </x:c>
      <x:c r="E46" s="11" t="inlineStr">
        <x:is>
          <x:t xml:space="preserve">baja sardinia</x:t>
        </x:is>
      </x:c>
      <x:c r="F46" s="11" t="inlineStr">
        <x:is>
          <x:t xml:space="preserve">villa unifamiliare</x:t>
        </x:is>
      </x:c>
      <x:c r="G46" s="11" t="inlineStr">
        <x:is>
          <x:t xml:space="preserve">Villa unifamiliare 230 m²</x:t>
        </x:is>
      </x:c>
    </x:row>
    <x:row r="47">
      <x:c r="A47" s="13" t="n">
        <x:v>1180000</x:v>
      </x:c>
      <x:c r="B47" s="14" t="n">
        <x:v>126</x:v>
      </x:c>
      <x:c r="C47" s="13" t="n">
        <x:v>9365.079365079366</x:v>
      </x:c>
      <x:c r="D47" s="11" t="inlineStr">
        <x:is>
          <x:t xml:space="preserve">via tre monti s.n.c, area baja sardinia, arzachena</x:t>
        </x:is>
      </x:c>
      <x:c r="E47" s="11" t="inlineStr">
        <x:is>
          <x:t xml:space="preserve">via tre monti</x:t>
        </x:is>
      </x:c>
      <x:c r="F47" s="11" t="inlineStr">
        <x:is>
          <x:t xml:space="preserve">villetta bifamiliare</x:t>
        </x:is>
      </x:c>
      <x:c r="G47" s="11" t="inlineStr">
        <x:is>
          <x:t xml:space="preserve">Villetta 126 m²</x:t>
        </x:is>
      </x:c>
    </x:row>
    <x:row r="48">
      <x:c r="A48" s="13" t="n">
        <x:v>1180000</x:v>
      </x:c>
      <x:c r="B48" s="14" t="n">
        <x:v>130</x:v>
      </x:c>
      <x:c r="C48" s="13" t="n">
        <x:v>9076.923076923076</x:v>
      </x:c>
      <x:c r="D48" s="11" t="inlineStr">
        <x:is>
          <x:t xml:space="preserve">baja sardinia</x:t>
        </x:is>
      </x:c>
      <x:c r="E48" s="11" t="inlineStr">
        <x:is>
          <x:t xml:space="preserve">baja sardinia</x:t>
        </x:is>
      </x:c>
      <x:c r="F48" s="11" t="inlineStr">
        <x:is>
          <x:t xml:space="preserve">villa bifamiliare</x:t>
        </x:is>
      </x:c>
      <x:c r="G48" s="11" t="inlineStr">
        <x:is>
          <x:t xml:space="preserve">Villa bifamiliare 130 m²</x:t>
        </x:is>
      </x:c>
    </x:row>
    <x:row r="49">
      <x:c r="A49" s="13" t="n">
        <x:v>1200000</x:v>
      </x:c>
      <x:c r="B49" s="14" t="n">
        <x:v>149</x:v>
      </x:c>
      <x:c r="C49" s="13" t="n">
        <x:v>8053.691275167786</x:v>
      </x:c>
      <x:c r="D49" s="11" t="inlineStr">
        <x:is>
          <x:t xml:space="preserve">via tre monti s.n.c, area baja sardinia, arzachena</x:t>
        </x:is>
      </x:c>
      <x:c r="E49" s="11" t="inlineStr">
        <x:is>
          <x:t xml:space="preserve">baja sardinia</x:t>
        </x:is>
      </x:c>
      <x:c r="F49" s="11" t="inlineStr">
        <x:is>
          <x:t xml:space="preserve">villa</x:t>
        </x:is>
      </x:c>
      <x:c r="G49" s="11" t="inlineStr">
        <x:is>
          <x:t xml:space="preserve">Villa 149 m²</x:t>
        </x:is>
      </x:c>
    </x:row>
    <x:row r="50">
      <x:c r="A50" s="13" t="n">
        <x:v>1200000</x:v>
      </x:c>
      <x:c r="B50" s="14" t="n">
        <x:v>214</x:v>
      </x:c>
      <x:c r="C50" s="13" t="n">
        <x:v>5607.476635514019</x:v>
      </x:c>
      <x:c r="D50" s="11" t="inlineStr">
        <x:is>
          <x:t xml:space="preserve">traversa della pineta, area baja sardinia, arzachena</x:t>
        </x:is>
      </x:c>
      <x:c r="E50" s="11" t="inlineStr">
        <x:is>
          <x:t xml:space="preserve">traversa della pineta</x:t>
        </x:is>
      </x:c>
      <x:c r="F50" s="11" t="inlineStr">
        <x:is>
          <x:t xml:space="preserve">villa</x:t>
        </x:is>
      </x:c>
      <x:c r="G50" s="11" t="inlineStr">
        <x:is>
          <x:t xml:space="preserve">Villa 214 m²</x:t>
        </x:is>
      </x:c>
    </x:row>
    <x:row r="51">
      <x:c r="A51" s="13" t="n">
        <x:v>1300000</x:v>
      </x:c>
      <x:c r="B51" s="14" t="n">
        <x:v>150</x:v>
      </x:c>
      <x:c r="C51" s="13" t="n">
        <x:v>8666.666666666666</x:v>
      </x:c>
      <x:c r="D51" s="11" t="inlineStr">
        <x:is>
          <x:t xml:space="preserve">cala dei ginepri s.n.c, area baja sardinia, arzachena</x:t>
        </x:is>
      </x:c>
      <x:c r="E51" s="11" t="inlineStr">
        <x:is>
          <x:t xml:space="preserve">cala dei ginepri</x:t>
        </x:is>
      </x:c>
      <x:c r="F51" s="11" t="inlineStr">
        <x:is>
          <x:t xml:space="preserve">villa</x:t>
        </x:is>
      </x:c>
      <x:c r="G51" s="11" t="inlineStr">
        <x:is>
          <x:t xml:space="preserve">Villa con piscina 150 m²</x:t>
        </x:is>
      </x:c>
    </x:row>
    <x:row r="52">
      <x:c r="A52" s="13" t="n">
        <x:v>1300000</x:v>
      </x:c>
      <x:c r="B52" s="14" t="n">
        <x:v>280</x:v>
      </x:c>
      <x:c r="C52" s="13" t="n">
        <x:v>4642.857142857143</x:v>
      </x:c>
      <x:c r="D52" s="11" t="inlineStr">
        <x:is>
          <x:t xml:space="preserve">via vaddi di jatta s.n.c, area baja sardinia, arzachena</x:t>
        </x:is>
      </x:c>
      <x:c r="E52" s="11" t="inlineStr">
        <x:is>
          <x:t xml:space="preserve">cala bitta</x:t>
        </x:is>
      </x:c>
      <x:c r="F52" s="11" t="inlineStr">
        <x:is>
          <x:t xml:space="preserve">villa</x:t>
        </x:is>
      </x:c>
      <x:c r="G52" s="11" t="inlineStr">
        <x:is>
          <x:t xml:space="preserve">Villa 280 m²</x:t>
        </x:is>
      </x:c>
    </x:row>
    <x:row r="53">
      <x:c r="A53" s="13" t="n">
        <x:v>1300000</x:v>
      </x:c>
      <x:c r="B53" s="14" t="n">
        <x:v>280</x:v>
      </x:c>
      <x:c r="C53" s="13" t="n">
        <x:v>4642.857142857143</x:v>
      </x:c>
      <x:c r="D53" s="11" t="inlineStr">
        <x:is>
          <x:t xml:space="preserve">via vaddi di jatta, baja sardinia, arzachena</x:t>
        </x:is>
      </x:c>
      <x:c r="E53" s="11" t="inlineStr">
        <x:is>
          <x:t xml:space="preserve">via vaddi di jatta</x:t>
        </x:is>
      </x:c>
      <x:c r="F53" s="11" t="inlineStr">
        <x:is>
          <x:t xml:space="preserve">villa</x:t>
        </x:is>
      </x:c>
      <x:c r="G53" s="11" t="inlineStr">
        <x:is>
          <x:t xml:space="preserve">Villa 280 m²</x:t>
        </x:is>
      </x:c>
    </x:row>
    <x:row r="54">
      <x:c r="A54" s="13" t="n">
        <x:v>1300000</x:v>
      </x:c>
      <x:c r="B54" s="14" t="n">
        <x:v>280</x:v>
      </x:c>
      <x:c r="C54" s="13" t="n">
        <x:v>4642.857142857143</x:v>
      </x:c>
      <x:c r="D54" s="11" t="inlineStr">
        <x:is>
          <x:t xml:space="preserve">arzachena, sardinia, italy</x:t>
        </x:is>
      </x:c>
      <x:c r="E54" s="11" t="inlineStr">
        <x:is>
          <x:t xml:space="preserve">baja sardinia</x:t>
        </x:is>
      </x:c>
      <x:c r="F54" s="11" t="inlineStr">
        <x:is>
          <x:t xml:space="preserve">villa</x:t>
        </x:is>
      </x:c>
      <x:c r="G54" s="11" t="inlineStr">
        <x:is>
          <x:t xml:space="preserve">Villa For Sales Baja Sardinia — 280 m²</x:t>
        </x:is>
      </x:c>
    </x:row>
    <x:row r="55">
      <x:c r="A55" s="13" t="n">
        <x:v>1470000</x:v>
      </x:c>
      <x:c r="B55" s="14" t="n">
        <x:v>220</x:v>
      </x:c>
      <x:c r="C55" s="13" t="n">
        <x:v>6681.818181818182</x:v>
      </x:c>
      <x:c r="D55" s="11" t="inlineStr">
        <x:is>
          <x:t xml:space="preserve">via tre monti, baja sardinia, arzachena</x:t>
        </x:is>
      </x:c>
      <x:c r="E55" s="11" t="inlineStr">
        <x:is>
          <x:t xml:space="preserve">via tre monti</x:t>
        </x:is>
      </x:c>
      <x:c r="F55" s="11" t="inlineStr">
        <x:is>
          <x:t xml:space="preserve">villa unifamiliare</x:t>
        </x:is>
      </x:c>
      <x:c r="G55" s="11" t="inlineStr">
        <x:is>
          <x:t xml:space="preserve">Villa 220 m²</x:t>
        </x:is>
      </x:c>
    </x:row>
    <x:row r="56">
      <x:c r="A56" s="13" t="n">
        <x:v>1470000</x:v>
      </x:c>
      <x:c r="B56" s="14" t="n">
        <x:v>220</x:v>
      </x:c>
      <x:c r="C56" s="13" t="n">
        <x:v>6681.818181818182</x:v>
      </x:c>
      <x:c r="D56" s="11" t="inlineStr">
        <x:is>
          <x:t xml:space="preserve">baja sardinia</x:t>
        </x:is>
      </x:c>
      <x:c r="E56" s="11" t="inlineStr">
        <x:is>
          <x:t xml:space="preserve">baja sardinia</x:t>
        </x:is>
      </x:c>
      <x:c r="F56" s="11" t="inlineStr">
        <x:is>
          <x:t xml:space="preserve">villa unifamiliare</x:t>
        </x:is>
      </x:c>
      <x:c r="G56" s="11" t="inlineStr">
        <x:is>
          <x:t xml:space="preserve">Villa unifamiliare 220 m²</x:t>
        </x:is>
      </x:c>
    </x:row>
    <x:row r="57">
      <x:c r="A57" s="13" t="n">
        <x:v>1591500</x:v>
      </x:c>
      <x:c r="B57" s="14" t="n">
        <x:v>286</x:v>
      </x:c>
      <x:c r="C57" s="13" t="n">
        <x:v>5564.685314685315</x:v>
      </x:c>
      <x:c r="D57" s="11" t="inlineStr">
        <x:is>
          <x:t xml:space="preserve">località pulicinu s.n.c, area baja sardinia, arzachena</x:t>
        </x:is>
      </x:c>
      <x:c r="E57" s="11" t="inlineStr">
        <x:is>
          <x:t xml:space="preserve">pulicinu</x:t>
        </x:is>
      </x:c>
      <x:c r="F57" s="11" t="inlineStr">
        <x:is>
          <x:t xml:space="preserve">villa</x:t>
        </x:is>
      </x:c>
      <x:c r="G57" s="11" t="inlineStr">
        <x:is>
          <x:t xml:space="preserve">Villa 286 m²</x:t>
        </x:is>
      </x:c>
    </x:row>
    <x:row r="58">
      <x:c r="A58" s="13" t="n">
        <x:v>1591500</x:v>
      </x:c>
      <x:c r="B58" s="14" t="n">
        <x:v>286</x:v>
      </x:c>
      <x:c r="C58" s="13" t="n">
        <x:v>5564.685314685315</x:v>
      </x:c>
      <x:c r="D58" s="11" t="inlineStr">
        <x:is>
          <x:t xml:space="preserve">loc. lu pulicinu</x:t>
        </x:is>
      </x:c>
      <x:c r="E58" s="11" t="inlineStr">
        <x:is>
          <x:t xml:space="preserve">lu pulicinu</x:t>
        </x:is>
      </x:c>
      <x:c r="F58" s="11" t="inlineStr">
        <x:is>
          <x:t xml:space="preserve">villa</x:t>
        </x:is>
      </x:c>
      <x:c r="G58" s="11" t="inlineStr">
        <x:is>
          <x:t xml:space="preserve">Baja Sardinia, villa mediterranea con vista panoramica — 286 m²</x:t>
        </x:is>
      </x:c>
    </x:row>
    <x:row r="59">
      <x:c r="A59" s="13" t="n">
        <x:v>1690000</x:v>
      </x:c>
      <x:c r="B59" s="14" t="n">
        <x:v>290</x:v>
      </x:c>
      <x:c r="C59" s="13" t="n">
        <x:v>5827.586206896552</x:v>
      </x:c>
      <x:c r="D59" s="11" t="inlineStr">
        <x:is>
          <x:t xml:space="preserve">contrada letizia, baja sardinia, arzachena</x:t>
        </x:is>
      </x:c>
      <x:c r="E59" s="11" t="inlineStr">
        <x:is>
          <x:t xml:space="preserve">contrada letizia</x:t>
        </x:is>
      </x:c>
      <x:c r="F59" s="11" t="inlineStr">
        <x:is>
          <x:t xml:space="preserve">villa</x:t>
        </x:is>
      </x:c>
      <x:c r="G59" s="11" t="inlineStr">
        <x:is>
          <x:t xml:space="preserve">Villa 290 m²</x:t>
        </x:is>
      </x:c>
    </x:row>
    <x:row r="60">
      <x:c r="A60" s="13" t="n">
        <x:v>1800000</x:v>
      </x:c>
      <x:c r="B60" s="14" t="n">
        <x:v>285</x:v>
      </x:c>
      <x:c r="C60" s="13" t="n">
        <x:v>6315.789473684211</x:v>
      </x:c>
      <x:c r="D60" s="11" t="inlineStr">
        <x:is>
          <x:t xml:space="preserve">area baja sardinia</x:t>
        </x:is>
      </x:c>
      <x:c r="E60" s="11" t="inlineStr">
        <x:is>
          <x:t xml:space="preserve">baja sardinia</x:t>
        </x:is>
      </x:c>
      <x:c r="F60" s="11" t="inlineStr">
        <x:is>
          <x:t xml:space="preserve">villa</x:t>
        </x:is>
      </x:c>
      <x:c r="G60" s="11" t="inlineStr">
        <x:is>
          <x:t xml:space="preserve">Villa 285 m²</x:t>
        </x:is>
      </x:c>
    </x:row>
    <x:row r="61">
      <x:c r="A61" s="13" t="n">
        <x:v>1800000</x:v>
      </x:c>
      <x:c r="B61" s="14" t="n">
        <x:v>450</x:v>
      </x:c>
      <x:c r="C61" s="13" t="n">
        <x:v>4000</x:v>
      </x:c>
      <x:c r="D61" s="11" t="inlineStr">
        <x:is>
          <x:t xml:space="preserve">via eucalipto, area baja sardinia, arzachena</x:t>
        </x:is>
      </x:c>
      <x:c r="E61" s="11" t="inlineStr">
        <x:is>
          <x:t xml:space="preserve">via eucalipto</x:t>
        </x:is>
      </x:c>
      <x:c r="F61" s="11" t="inlineStr">
        <x:is>
          <x:t xml:space="preserve">villa</x:t>
        </x:is>
      </x:c>
      <x:c r="G61" s="11" t="inlineStr">
        <x:is>
          <x:t xml:space="preserve">Villa 450 m²</x:t>
        </x:is>
      </x:c>
    </x:row>
    <x:row r="62">
      <x:c r="A62" s="13" t="n">
        <x:v>1800000</x:v>
      </x:c>
      <x:c r="B62" s="14" t="n">
        <x:v>450</x:v>
      </x:c>
      <x:c r="C62" s="13" t="n">
        <x:v>4000</x:v>
      </x:c>
      <x:c r="D62" s="11" t="inlineStr">
        <x:is>
          <x:t xml:space="preserve">baja sardinia / cala bitta</x:t>
        </x:is>
      </x:c>
      <x:c r="E62" s="11" t="inlineStr">
        <x:is>
          <x:t xml:space="preserve">baja sardinia / cala bitta</x:t>
        </x:is>
      </x:c>
      <x:c r="F62" s="11" t="inlineStr">
        <x:is>
          <x:t xml:space="preserve">villa</x:t>
        </x:is>
      </x:c>
      <x:c r="G62" s="11" t="inlineStr">
        <x:is>
          <x:t xml:space="preserve">Prestigiosa villa di 450 mq in vendita — 450 m²</x:t>
        </x:is>
      </x:c>
    </x:row>
    <x:row r="63">
      <x:c r="A63" s="13" t="n">
        <x:v>1900000</x:v>
      </x:c>
      <x:c r="B63" s="14" t="n">
        <x:v>257</x:v>
      </x:c>
      <x:c r="C63" s="13" t="n">
        <x:v>7392.996108949416</x:v>
      </x:c>
      <x:c r="D63" s="11" t="inlineStr">
        <x:is>
          <x:t xml:space="preserve">via tre monti, baja sardinia, arzachena</x:t>
        </x:is>
      </x:c>
      <x:c r="E63" s="11" t="inlineStr">
        <x:is>
          <x:t xml:space="preserve">via tre monti</x:t>
        </x:is>
      </x:c>
      <x:c r="F63" s="11" t="inlineStr">
        <x:is>
          <x:t xml:space="preserve">villa unifamiliare</x:t>
        </x:is>
      </x:c>
      <x:c r="G63" s="11" t="inlineStr">
        <x:is>
          <x:t xml:space="preserve">Villa 257 m²</x:t>
        </x:is>
      </x:c>
    </x:row>
    <x:row r="64">
      <x:c r="A64" s="13" t="n">
        <x:v>1900000</x:v>
      </x:c>
      <x:c r="B64" s="14" t="n">
        <x:v>410</x:v>
      </x:c>
      <x:c r="C64" s="13" t="n">
        <x:v>4634.146341463415</x:v>
      </x:c>
      <x:c r="D64" s="11" t="inlineStr">
        <x:is>
          <x:t xml:space="preserve">via cala bitta, area baja sardinia, arzachena</x:t>
        </x:is>
      </x:c>
      <x:c r="E64" s="11" t="inlineStr">
        <x:is>
          <x:t xml:space="preserve">cala bitta</x:t>
        </x:is>
      </x:c>
      <x:c r="F64" s="11" t="inlineStr">
        <x:is>
          <x:t xml:space="preserve">villa bifamiliare</x:t>
        </x:is>
      </x:c>
      <x:c r="G64" s="11" t="inlineStr">
        <x:is>
          <x:t xml:space="preserve">Villa bifamiliare 410 m²</x:t>
        </x:is>
      </x:c>
    </x:row>
    <x:row r="65">
      <x:c r="A65" s="13" t="n">
        <x:v>1950000</x:v>
      </x:c>
      <x:c r="B65" s="14" t="n">
        <x:v>420</x:v>
      </x:c>
      <x:c r="C65" s="13" t="n">
        <x:v>4642.857142857143</x:v>
      </x:c>
      <x:c r="D65" s="11" t="inlineStr">
        <x:is>
          <x:t xml:space="preserve">arzachena, sardinia, italy</x:t>
        </x:is>
      </x:c>
      <x:c r="E65" s="11" t="inlineStr">
        <x:is>
          <x:t xml:space="preserve">baja sardinia</x:t>
        </x:is>
      </x:c>
      <x:c r="F65" s="11" t="inlineStr">
        <x:is>
          <x:t xml:space="preserve">villa</x:t>
        </x:is>
      </x:c>
      <x:c r="G65" s="11" t="inlineStr">
        <x:is>
          <x:t xml:space="preserve">Villa La Gatta Baja Sardinia — 420 m²</x:t>
        </x:is>
      </x:c>
    </x:row>
    <x:row r="66">
      <x:c r="A66" s="13" t="n">
        <x:v>1950000</x:v>
      </x:c>
      <x:c r="B66" s="14" t="n">
        <x:v>450</x:v>
      </x:c>
      <x:c r="C66" s="13" t="n">
        <x:v>4333.333333333333</x:v>
      </x:c>
      <x:c r="D66" s="11" t="inlineStr">
        <x:is>
          <x:t xml:space="preserve">via cala bitta</x:t>
        </x:is>
      </x:c>
      <x:c r="E66" s="11" t="inlineStr">
        <x:is>
          <x:t xml:space="preserve">via cala bitta</x:t>
        </x:is>
      </x:c>
      <x:c r="F66" s="11" t="inlineStr">
        <x:is>
          <x:t xml:space="preserve">villa</x:t>
        </x:is>
      </x:c>
      <x:c r="G66" s="11" t="inlineStr">
        <x:is>
          <x:t xml:space="preserve">Villa 450 m²</x:t>
        </x:is>
      </x:c>
    </x:row>
    <x:row r="67">
      <x:c r="A67" s="13" t="n">
        <x:v>1950000</x:v>
      </x:c>
      <x:c r="B67" s="14" t="n">
        <x:v>450</x:v>
      </x:c>
      <x:c r="C67" s="13" t="n">
        <x:v>4333.333333333333</x:v>
      </x:c>
      <x:c r="D67" s="11" t="inlineStr">
        <x:is>
          <x:t xml:space="preserve">baja sardinia</x:t>
        </x:is>
      </x:c>
      <x:c r="E67" s="11" t="inlineStr">
        <x:is>
          <x:t xml:space="preserve">baja sardinia</x:t>
        </x:is>
      </x:c>
      <x:c r="F67" s="11" t="inlineStr">
        <x:is>
          <x:t xml:space="preserve">villa</x:t>
        </x:is>
      </x:c>
      <x:c r="G67" s="11" t="inlineStr">
        <x:is>
          <x:t xml:space="preserve">Villa Bitta | Panoramic elegance in Baja Sardinia — 450 m²</x:t>
        </x:is>
      </x:c>
    </x:row>
    <x:row r="68">
      <x:c r="A68" s="13" t="n">
        <x:v>620000</x:v>
      </x:c>
      <x:c r="B68" s="14" t="n">
        <x:v>130</x:v>
      </x:c>
      <x:c r="C68" s="13" t="n">
        <x:v>4769.23076923077</x:v>
      </x:c>
      <x:c r="D68" s="11" t="str">
        <x:v>Subject Villa (Address Withheld)</x:v>
      </x:c>
      <x:c r="E68" s="11" t="str">
        <x:v>Subject Villa</x:v>
      </x:c>
      <x:c r="F68" s="11" t="inlineStr">
        <x:is>
          <x:t xml:space="preserve">Reference asset</x:t>
        </x:is>
      </x:c>
      <x:c r="G68" s="11" t="inlineStr">
        <x:is>
          <x:t xml:space="preserve">Current working anchor</x:t>
        </x:is>
      </x:c>
    </x:row>
    <x:row r="69">
      <x:c r="A69" s="11" t="n"/>
      <x:c r="B69" s="11" t="n"/>
      <x:c r="C69" s="11" t="n"/>
      <x:c r="D69" s="11" t="n"/>
      <x:c r="E69" s="11" t="n"/>
      <x:c r="F69" s="11" t="n"/>
      <x:c r="G69" s="11" t="n"/>
    </x:row>
    <x:row r="70">
      <x:c r="A70" s="15" t="n"/>
      <x:c r="B70" s="11" t="n"/>
      <x:c r="C70" s="11" t="n"/>
      <x:c r="D70" s="11" t="n"/>
      <x:c r="E70" s="11" t="n"/>
      <x:c r="F70" s="11" t="n"/>
      <x:c r="G70" s="11" t="n"/>
    </x:row>
    <x:row r="71">
      <x:c r="A71" s="11" t="str">
        <x:v>Selected local universe N (subject included)</x:v>
      </x:c>
      <x:c r="B71" s="11" t="n">
        <x:v>63</x:v>
      </x:c>
      <x:c r="C71" s="11" t="n"/>
      <x:c r="D71" s="11" t="n"/>
      <x:c r="E71" s="11" t="n"/>
      <x:c r="F71" s="11" t="n"/>
      <x:c r="G71" s="11" t="n"/>
    </x:row>
    <x:row r="72">
      <x:c r="A72" s="11" t="str">
        <x:v>Selected local median (subject included)</x:v>
      </x:c>
      <x:c r="B72" s="13" t="n">
        <x:v>700000</x:v>
      </x:c>
      <x:c r="C72" s="11" t="n"/>
      <x:c r="D72" s="11" t="n"/>
      <x:c r="E72" s="11" t="n"/>
      <x:c r="F72" s="11" t="n"/>
      <x:c r="G72" s="11" t="n"/>
    </x:row>
    <x:row r="73">
      <x:c r="A73" s="11" t="str">
        <x:v>Subject Villa price</x:v>
      </x:c>
      <x:c r="B73" s="13" t="n">
        <x:v>620000</x:v>
      </x:c>
      <x:c r="C73" s="11" t="n"/>
      <x:c r="D73" s="11" t="n"/>
      <x:c r="E73" s="11" t="n"/>
      <x:c r="F73" s="11" t="n"/>
      <x:c r="G73" s="11" t="n"/>
    </x:row>
    <x:row r="74">
      <x:c r="A74" s="11" t="str">
        <x:v>Subject Villa vs local median</x:v>
      </x:c>
      <x:c r="B74" s="16" t="n">
        <x:v>-0.1142857142857143</x:v>
      </x:c>
      <x:c r="C74" s="11" t="n"/>
      <x:c r="D74" s="11" t="n"/>
      <x:c r="E74" s="11" t="n"/>
      <x:c r="F74" s="11" t="n"/>
      <x:c r="G74" s="11" t="n"/>
    </x:row>
    <x:row r="75">
      <x:c r="A75" s="11" t="n"/>
      <x:c r="B75" s="11" t="n"/>
      <x:c r="C75" s="11" t="n"/>
      <x:c r="D75" s="11" t="n"/>
      <x:c r="E75" s="11" t="n"/>
      <x:c r="F75" s="11" t="n"/>
      <x:c r="G75" s="11" t="n"/>
    </x:row>
    <x:row r="76">
      <x:c r="A76" s="11" t="n"/>
      <x:c r="B76" s="11" t="n"/>
      <x:c r="C76" s="11" t="n"/>
      <x:c r="D76" s="11" t="n"/>
      <x:c r="E76" s="11" t="n"/>
      <x:c r="F76" s="11" t="n"/>
      <x:c r="G76" s="11" t="n"/>
    </x:row>
    <x:row r="77">
      <x:c r="A77" s="11" t="n"/>
      <x:c r="B77" s="11" t="n"/>
      <x:c r="C77" s="11" t="n"/>
      <x:c r="D77" s="11" t="n"/>
      <x:c r="E77" s="11" t="n"/>
      <x:c r="F77" s="11" t="n"/>
      <x:c r="G77" s="11" t="n"/>
    </x:row>
  </x:sheetData>
  <x:mergeCells>
    <x:mergeCell ref="A2:G2"/>
    <x:mergeCell ref="A1:G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baseColWidth="8" defaultRowHeight="15"/>
  <x:cols>
    <x:col min="1" max="1" width="34" customWidth="1"/>
    <x:col min="2" max="2" width="20" customWidth="1"/>
    <x:col min="3" max="3" width="14" customWidth="1"/>
    <x:col min="4" max="4" width="20" customWidth="1"/>
    <x:col min="5" max="5" width="42" customWidth="1"/>
    <x:col min="6" max="6" width="28" customWidth="1"/>
  </x:cols>
  <x:sheetData>
    <x:row r="1">
      <x:c r="A1" s="19" t="inlineStr">
        <x:is>
          <x:t xml:space="preserve">Rental Evidence — Observed vs Modelled</x:t>
        </x:is>
      </x:c>
      <x:c r="B1" s="20" t="n"/>
      <x:c r="C1" s="20" t="n"/>
      <x:c r="D1" s="20" t="n"/>
      <x:c r="E1" s="20" t="n"/>
      <x:c r="F1" s="20" t="n"/>
    </x:row>
    <x:row r="2">
      <x:c r="A2" s="21" t="str">
        <x:v>Keep observed local rent and the subject-villa modelled outputs visibly separate.</x:v>
      </x:c>
      <x:c r="B2" s="20" t="n"/>
      <x:c r="C2" s="20" t="n"/>
      <x:c r="D2" s="20" t="n"/>
      <x:c r="E2" s="20" t="n"/>
      <x:c r="F2" s="20" t="n"/>
    </x:row>
    <x:row r="3">
      <x:c r="A3" s="3" t="n"/>
      <x:c r="B3" s="3" t="n"/>
      <x:c r="C3" s="3" t="n"/>
      <x:c r="D3" s="3" t="n"/>
      <x:c r="E3" s="3" t="n"/>
      <x:c r="F3" s="3" t="n"/>
    </x:row>
    <x:row r="4">
      <x:c r="A4" s="4" t="inlineStr">
        <x:is>
          <x:t xml:space="preserve">Metric</x:t>
        </x:is>
      </x:c>
      <x:c r="B4" s="4" t="inlineStr">
        <x:is>
          <x:t xml:space="preserve">Value</x:t>
        </x:is>
      </x:c>
      <x:c r="C4" s="4" t="inlineStr">
        <x:is>
          <x:t xml:space="preserve">Unit</x:t>
        </x:is>
      </x:c>
      <x:c r="D4" s="4" t="inlineStr">
        <x:is>
          <x:t xml:space="preserve">Evidence type</x:t>
        </x:is>
      </x:c>
      <x:c r="E4" s="4" t="inlineStr">
        <x:is>
          <x:t xml:space="preserve">Definition</x:t>
        </x:is>
      </x:c>
      <x:c r="F4" s="4" t="inlineStr">
        <x:is>
          <x:t xml:space="preserve">Source</x:t>
        </x:is>
      </x:c>
    </x:row>
    <x:row r="5">
      <x:c r="A5" s="3" t="inlineStr">
        <x:is>
          <x:t xml:space="preserve">Local 3BR anchor</x:t>
        </x:is>
      </x:c>
      <x:c r="B5" s="7" t="n">
        <x:v>1250</x:v>
      </x:c>
      <x:c r="C5" s="3" t="inlineStr">
        <x:is>
          <x:t xml:space="preserve">€/week</x:t>
        </x:is>
      </x:c>
      <x:c r="D5" s="3" t="inlineStr">
        <x:is>
          <x:t xml:space="preserve">Observed benchmark</x:t>
        </x:is>
      </x:c>
      <x:c r="E5" s="3" t="inlineStr">
        <x:is>
          <x:t xml:space="preserve">95 sqm | 3BR | 2BA</x:t>
        </x:is>
      </x:c>
      <x:c r="F5" s="3" t="inlineStr">
        <x:is>
          <x:t xml:space="preserve">Local model</x:t>
        </x:is>
      </x:c>
    </x:row>
    <x:row r="6">
      <x:c r="A6" s="3" t="str">
        <x:v>Subject Villa October</x:v>
      </x:c>
      <x:c r="B6" s="7" t="n">
        <x:v>2114.980802510804</x:v>
      </x:c>
      <x:c r="C6" s="3" t="inlineStr">
        <x:is>
          <x:t xml:space="preserve">€/week</x:t>
        </x:is>
      </x:c>
      <x:c r="D6" s="3" t="inlineStr">
        <x:is>
          <x:t xml:space="preserve">Modelled</x:t>
        </x:is>
      </x:c>
      <x:c r="E6" s="3" t="inlineStr">
        <x:is>
          <x:t xml:space="preserve">Probability-weighted</x:t>
        </x:is>
      </x:c>
      <x:c r="F6" s="3" t="inlineStr">
        <x:is>
          <x:t xml:space="preserve">Investment model</x:t>
        </x:is>
      </x:c>
    </x:row>
    <x:row r="7">
      <x:c r="A7" s="3" t="str">
        <x:v>Subject Villa August normal</x:v>
      </x:c>
      <x:c r="B7" s="7" t="n">
        <x:v>3944.153388466093</x:v>
      </x:c>
      <x:c r="C7" s="3" t="inlineStr">
        <x:is>
          <x:t xml:space="preserve">€/week</x:t>
        </x:is>
      </x:c>
      <x:c r="D7" s="3" t="inlineStr">
        <x:is>
          <x:t xml:space="preserve">Modelled</x:t>
        </x:is>
      </x:c>
      <x:c r="E7" s="3" t="inlineStr">
        <x:is>
          <x:t xml:space="preserve">Seasonal reference</x:t>
        </x:is>
      </x:c>
      <x:c r="F7" s="3" t="inlineStr">
        <x:is>
          <x:t xml:space="preserve">Investment model</x:t>
        </x:is>
      </x:c>
    </x:row>
    <x:row r="8">
      <x:c r="A8" s="3" t="str">
        <x:v>Subject Villa August peak</x:v>
      </x:c>
      <x:c r="B8" s="7" t="n">
        <x:v>4630.093108199328</x:v>
      </x:c>
      <x:c r="C8" s="3" t="inlineStr">
        <x:is>
          <x:t xml:space="preserve">€/week</x:t>
        </x:is>
      </x:c>
      <x:c r="D8" s="3" t="inlineStr">
        <x:is>
          <x:t xml:space="preserve">Modelled</x:t>
        </x:is>
      </x:c>
      <x:c r="E8" s="3" t="inlineStr">
        <x:is>
          <x:t xml:space="preserve">Peak scenario</x:t>
        </x:is>
      </x:c>
      <x:c r="F8" s="3" t="inlineStr">
        <x:is>
          <x:t xml:space="preserve">Investment model</x:t>
        </x:is>
      </x:c>
    </x:row>
    <x:row r="9">
      <x:c r="A9" s="3" t="inlineStr">
        <x:is>
          <x:t xml:space="preserve">October premium vs local 3BR</x:t>
        </x:is>
      </x:c>
      <x:c r="B9" s="5" t="n">
        <x:v>0.6919846420086433</x:v>
      </x:c>
      <x:c r="C9" s="3" t="inlineStr">
        <x:is>
          <x:t xml:space="preserve">%</x:t>
        </x:is>
      </x:c>
      <x:c r="D9" s="3" t="inlineStr">
        <x:is>
          <x:t xml:space="preserve">Derived</x:t>
        </x:is>
      </x:c>
      <x:c r="E9" s="3" t="inlineStr">
        <x:is>
          <x:t xml:space="preserve">Model / observed</x:t>
        </x:is>
      </x:c>
      <x:c r="F9" s="3" t="inlineStr">
        <x:is>
          <x:t xml:space="preserve">Derived</x:t>
        </x:is>
      </x:c>
    </x:row>
    <x:row r="10">
      <x:c r="A10" s="3" t="inlineStr">
        <x:is>
          <x:t xml:space="preserve">August normal premium vs local 3BR</x:t>
        </x:is>
      </x:c>
      <x:c r="B10" s="5" t="n">
        <x:v>2.155322710772874</x:v>
      </x:c>
      <x:c r="C10" s="3" t="inlineStr">
        <x:is>
          <x:t xml:space="preserve">%</x:t>
        </x:is>
      </x:c>
      <x:c r="D10" s="3" t="inlineStr">
        <x:is>
          <x:t xml:space="preserve">Derived</x:t>
        </x:is>
      </x:c>
      <x:c r="E10" s="3" t="inlineStr">
        <x:is>
          <x:t xml:space="preserve">Model / observed</x:t>
        </x:is>
      </x:c>
      <x:c r="F10" s="3" t="inlineStr">
        <x:is>
          <x:t xml:space="preserve">Derived</x:t>
        </x:is>
      </x:c>
    </x:row>
    <x:row r="11">
      <x:c r="A11" s="3" t="inlineStr">
        <x:is>
          <x:t xml:space="preserve">Rental model MAPE</x:t>
        </x:is>
      </x:c>
      <x:c r="B11" s="5" t="n">
        <x:v>0.099</x:v>
      </x:c>
      <x:c r="C11" s="3" t="inlineStr">
        <x:is>
          <x:t xml:space="preserve">%</x:t>
        </x:is>
      </x:c>
      <x:c r="D11" s="3" t="inlineStr">
        <x:is>
          <x:t xml:space="preserve">Validation</x:t>
        </x:is>
      </x:c>
      <x:c r="E11" s="3" t="inlineStr">
        <x:is>
          <x:t xml:space="preserve">Historical test</x:t>
        </x:is>
      </x:c>
      <x:c r="F11" s="3" t="inlineStr">
        <x:is>
          <x:t xml:space="preserve">Prior local model validation</x:t>
        </x:is>
      </x:c>
    </x:row>
    <x:row r="12">
      <x:c r="A12" s="3" t="inlineStr">
        <x:is>
          <x:t xml:space="preserve">Weeks within ±15%</x:t>
        </x:is>
      </x:c>
      <x:c r="B12" s="5" t="n">
        <x:v>0.714</x:v>
      </x:c>
      <x:c r="C12" s="3" t="inlineStr">
        <x:is>
          <x:t xml:space="preserve">%</x:t>
        </x:is>
      </x:c>
      <x:c r="D12" s="3" t="inlineStr">
        <x:is>
          <x:t xml:space="preserve">Validation</x:t>
        </x:is>
      </x:c>
      <x:c r="E12" s="3" t="inlineStr">
        <x:is>
          <x:t xml:space="preserve">Historical test</x:t>
        </x:is>
      </x:c>
      <x:c r="F12" s="3" t="inlineStr">
        <x:is>
          <x:t xml:space="preserve">Prior local model validation</x:t>
        </x:is>
      </x:c>
    </x:row>
    <x:row r="13">
      <x:c r="A13" s="3" t="inlineStr">
        <x:is>
          <x:t xml:space="preserve">Weeks within ±20%</x:t>
        </x:is>
      </x:c>
      <x:c r="B13" s="5" t="n">
        <x:v>0.914</x:v>
      </x:c>
      <x:c r="C13" s="3" t="inlineStr">
        <x:is>
          <x:t xml:space="preserve">%</x:t>
        </x:is>
      </x:c>
      <x:c r="D13" s="3" t="inlineStr">
        <x:is>
          <x:t xml:space="preserve">Validation</x:t>
        </x:is>
      </x:c>
      <x:c r="E13" s="3" t="inlineStr">
        <x:is>
          <x:t xml:space="preserve">Historical test</x:t>
        </x:is>
      </x:c>
      <x:c r="F13" s="3" t="inlineStr">
        <x:is>
          <x:t xml:space="preserve">Prior local model validation</x:t>
        </x:is>
      </x:c>
    </x:row>
  </x:sheetData>
  <x:mergeCells>
    <x:mergeCell ref="A2:F2"/>
    <x:mergeCell ref="A1:F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baseColWidth="8" defaultRowHeight="15"/>
  <x:cols>
    <x:col min="1" max="1" width="26" customWidth="1"/>
    <x:col min="2" max="2" width="22" customWidth="1"/>
    <x:col min="3" max="3" width="24" customWidth="1"/>
    <x:col min="4" max="4" width="24" customWidth="1"/>
    <x:col min="5" max="5" width="18" customWidth="1"/>
  </x:cols>
  <x:sheetData>
    <x:row r="1">
      <x:c r="A1" s="19" t="inlineStr">
        <x:is>
          <x:t xml:space="preserve">12-Month Rental Seasonality</x:t>
        </x:is>
      </x:c>
      <x:c r="B1" s="20" t="n"/>
      <x:c r="C1" s="20" t="n"/>
      <x:c r="D1" s="20" t="n"/>
      <x:c r="E1" s="20" t="n"/>
    </x:row>
    <x:row r="2">
      <x:c r="A2" s="21" t="inlineStr">
        <x:is>
          <x:t xml:space="preserve">Probability-weighted monthly gross cash from the existing model.</x:t>
        </x:is>
      </x:c>
      <x:c r="B2" s="20" t="n"/>
      <x:c r="C2" s="20" t="n"/>
      <x:c r="D2" s="20" t="n"/>
      <x:c r="E2" s="20" t="n"/>
    </x:row>
    <x:row r="3">
      <x:c r="A3" s="3" t="n"/>
      <x:c r="B3" s="3" t="n"/>
      <x:c r="C3" s="3" t="n"/>
      <x:c r="D3" s="3" t="n"/>
      <x:c r="E3" s="3" t="n"/>
    </x:row>
    <x:row r="4">
      <x:c r="A4" s="4" t="inlineStr">
        <x:is>
          <x:t xml:space="preserve">Month</x:t>
        </x:is>
      </x:c>
      <x:c r="B4" s="4" t="inlineStr">
        <x:is>
          <x:t xml:space="preserve">Expected gross cash</x:t>
        </x:is>
      </x:c>
      <x:c r="C4" s="4" t="inlineStr">
        <x:is>
          <x:t xml:space="preserve">Share of annual gross</x:t>
        </x:is>
      </x:c>
      <x:c r="D4" s="4" t="inlineStr">
        <x:is>
          <x:t xml:space="preserve">Cumulative share</x:t>
        </x:is>
      </x:c>
      <x:c r="E4" s="4" t="inlineStr">
        <x:is>
          <x:t xml:space="preserve">Season</x:t>
        </x:is>
      </x:c>
    </x:row>
    <x:row r="5">
      <x:c r="A5" s="3" t="inlineStr">
        <x:is>
          <x:t xml:space="preserve">Jan</x:t>
        </x:is>
      </x:c>
      <x:c r="B5" s="7" t="n">
        <x:v>3764.397778167714</x:v>
      </x:c>
      <x:c r="C5" s="5" t="n">
        <x:v>0.04308674498543216</x:v>
      </x:c>
      <x:c r="D5" s="5" t="n">
        <x:v>0.04308674498543216</x:v>
      </x:c>
      <x:c r="E5" s="3" t="inlineStr">
        <x:is>
          <x:t xml:space="preserve">Low</x:t>
        </x:is>
      </x:c>
    </x:row>
    <x:row r="6">
      <x:c r="A6" s="3" t="inlineStr">
        <x:is>
          <x:t xml:space="preserve">Feb</x:t>
        </x:is>
      </x:c>
      <x:c r="B6" s="7" t="n">
        <x:v>974.0563608086686</x:v>
      </x:c>
      <x:c r="C6" s="5" t="n">
        <x:v>0.01114890627738846</x:v>
      </x:c>
      <x:c r="D6" s="5" t="n">
        <x:v>0.05423565126282062</x:v>
      </x:c>
      <x:c r="E6" s="3" t="inlineStr">
        <x:is>
          <x:t xml:space="preserve">Low</x:t>
        </x:is>
      </x:c>
    </x:row>
    <x:row r="7">
      <x:c r="A7" s="3" t="inlineStr">
        <x:is>
          <x:t xml:space="preserve">Mar</x:t>
        </x:is>
      </x:c>
      <x:c r="B7" s="7" t="n">
        <x:v>2632.702675353384</x:v>
      </x:c>
      <x:c r="C7" s="5" t="n">
        <x:v>0.03013352878202725</x:v>
      </x:c>
      <x:c r="D7" s="5" t="n">
        <x:v>0.08436918004484786</x:v>
      </x:c>
      <x:c r="E7" s="3" t="inlineStr">
        <x:is>
          <x:t xml:space="preserve">Low</x:t>
        </x:is>
      </x:c>
    </x:row>
    <x:row r="8">
      <x:c r="A8" s="3" t="inlineStr">
        <x:is>
          <x:t xml:space="preserve">Apr</x:t>
        </x:is>
      </x:c>
      <x:c r="B8" s="7" t="n">
        <x:v>5920.304480013009</x:v>
      </x:c>
      <x:c r="C8" s="5" t="n">
        <x:v>0.06776293696852438</x:v>
      </x:c>
      <x:c r="D8" s="5" t="n">
        <x:v>0.1521321170133722</x:v>
      </x:c>
      <x:c r="E8" s="3" t="inlineStr">
        <x:is>
          <x:t xml:space="preserve">Shoulder</x:t>
        </x:is>
      </x:c>
    </x:row>
    <x:row r="9">
      <x:c r="A9" s="3" t="inlineStr">
        <x:is>
          <x:t xml:space="preserve">May</x:t>
        </x:is>
      </x:c>
      <x:c r="B9" s="7" t="n">
        <x:v>6818.714814237871</x:v>
      </x:c>
      <x:c r="C9" s="5" t="n">
        <x:v>0.07804600991780899</x:v>
      </x:c>
      <x:c r="D9" s="5" t="n">
        <x:v>0.2301781269311812</x:v>
      </x:c>
      <x:c r="E9" s="3" t="inlineStr">
        <x:is>
          <x:t xml:space="preserve">Shoulder</x:t>
        </x:is>
      </x:c>
    </x:row>
    <x:row r="10">
      <x:c r="A10" s="3" t="inlineStr">
        <x:is>
          <x:t xml:space="preserve">Jun</x:t>
        </x:is>
      </x:c>
      <x:c r="B10" s="7" t="n">
        <x:v>10672.00332533176</x:v>
      </x:c>
      <x:c r="C10" s="5" t="n">
        <x:v>0.1221501851980339</x:v>
      </x:c>
      <x:c r="D10" s="5" t="n">
        <x:v>0.3523283121292151</x:v>
      </x:c>
      <x:c r="E10" s="3" t="inlineStr">
        <x:is>
          <x:t xml:space="preserve">Strong</x:t>
        </x:is>
      </x:c>
    </x:row>
    <x:row r="11">
      <x:c r="A11" s="3" t="inlineStr">
        <x:is>
          <x:t xml:space="preserve">Jul</x:t>
        </x:is>
      </x:c>
      <x:c r="B11" s="7" t="n">
        <x:v>14376.49310710444</x:v>
      </x:c>
      <x:c r="C11" s="5" t="n">
        <x:v>0.1645512320411944</x:v>
      </x:c>
      <x:c r="D11" s="5" t="n">
        <x:v>0.5168795441704095</x:v>
      </x:c>
      <x:c r="E11" s="3" t="inlineStr">
        <x:is>
          <x:t xml:space="preserve">Peak</x:t>
        </x:is>
      </x:c>
    </x:row>
    <x:row r="12">
      <x:c r="A12" s="3" t="inlineStr">
        <x:is>
          <x:t xml:space="preserve">Aug</x:t>
        </x:is>
      </x:c>
      <x:c r="B12" s="7" t="n">
        <x:v>18721.03018117146</x:v>
      </x:c>
      <x:c r="C12" s="5" t="n">
        <x:v>0.2142781663401503</x:v>
      </x:c>
      <x:c r="D12" s="5" t="n">
        <x:v>0.7311577105105598</x:v>
      </x:c>
      <x:c r="E12" s="3" t="inlineStr">
        <x:is>
          <x:t xml:space="preserve">Peak</x:t>
        </x:is>
      </x:c>
    </x:row>
    <x:row r="13">
      <x:c r="A13" s="3" t="inlineStr">
        <x:is>
          <x:t xml:space="preserve">Sep</x:t>
        </x:is>
      </x:c>
      <x:c r="B13" s="7" t="n">
        <x:v>11274.27883158565</x:v>
      </x:c>
      <x:c r="C13" s="5" t="n">
        <x:v>0.1290437423293858</x:v>
      </x:c>
      <x:c r="D13" s="5" t="n">
        <x:v>0.8602014528399455</x:v>
      </x:c>
      <x:c r="E13" s="3" t="inlineStr">
        <x:is>
          <x:t xml:space="preserve">Strong</x:t>
        </x:is>
      </x:c>
    </x:row>
    <x:row r="14">
      <x:c r="A14" s="3" t="inlineStr">
        <x:is>
          <x:t xml:space="preserve">Oct</x:t>
        </x:is>
      </x:c>
      <x:c r="B14" s="7" t="n">
        <x:v>7551.745752090874</x:v>
      </x:c>
      <x:c r="C14" s="5" t="n">
        <x:v>0.08643617454623402</x:v>
      </x:c>
      <x:c r="D14" s="5" t="n">
        <x:v>0.9466376273861795</x:v>
      </x:c>
      <x:c r="E14" s="3" t="inlineStr">
        <x:is>
          <x:t xml:space="preserve">Shoulder</x:t>
        </x:is>
      </x:c>
    </x:row>
    <x:row r="15">
      <x:c r="A15" s="3" t="inlineStr">
        <x:is>
          <x:t xml:space="preserve">Nov</x:t>
        </x:is>
      </x:c>
      <x:c r="B15" s="7" t="n">
        <x:v>2435.509473848828</x:v>
      </x:c>
      <x:c r="C15" s="5" t="n">
        <x:v>0.02787648431256013</x:v>
      </x:c>
      <x:c r="D15" s="5" t="n">
        <x:v>0.9745141116987397</x:v>
      </x:c>
      <x:c r="E15" s="3" t="inlineStr">
        <x:is>
          <x:t xml:space="preserve">Low</x:t>
        </x:is>
      </x:c>
    </x:row>
    <x:row r="16">
      <x:c r="A16" s="3" t="inlineStr">
        <x:is>
          <x:t xml:space="preserve">Dec</x:t>
        </x:is>
      </x:c>
      <x:c r="B16" s="7" t="n">
        <x:v>2226.648156604364</x:v>
      </x:c>
      <x:c r="C16" s="5" t="n">
        <x:v>0.02548588830126031</x:v>
      </x:c>
      <x:c r="D16" s="5" t="n">
        <x:v>1</x:v>
      </x:c>
      <x:c r="E16" s="3" t="inlineStr">
        <x:is>
          <x:t xml:space="preserve">Low</x:t>
        </x:is>
      </x:c>
    </x:row>
    <x:row r="17">
      <x:c r="A17" s="3" t="n"/>
      <x:c r="B17" s="3" t="n"/>
      <x:c r="C17" s="3" t="n"/>
      <x:c r="D17" s="3" t="n"/>
      <x:c r="E17" s="3" t="n"/>
    </x:row>
    <x:row r="18">
      <x:c r="A18" s="4" t="inlineStr">
        <x:is>
          <x:t xml:space="preserve">Concentration metric</x:t>
        </x:is>
      </x:c>
      <x:c r="B18" s="4" t="inlineStr">
        <x:is>
          <x:t xml:space="preserve">Result</x:t>
        </x:is>
      </x:c>
      <x:c r="C18" s="4" t="inlineStr">
        <x:is>
          <x:t xml:space="preserve">Calculation</x:t>
        </x:is>
      </x:c>
      <x:c r="D18" s="4" t="inlineStr">
        <x:is>
          <x:t xml:space="preserve">Use</x:t>
        </x:is>
      </x:c>
      <x:c r="E18" s="3" t="n"/>
    </x:row>
    <x:row r="19">
      <x:c r="A19" s="3" t="inlineStr">
        <x:is>
          <x:t xml:space="preserve">Annual expected gross</x:t>
        </x:is>
      </x:c>
      <x:c r="B19" s="7" t="n">
        <x:v>87367.88493631802</x:v>
      </x:c>
      <x:c r="C19" s="3" t="inlineStr">
        <x:is>
          <x:t xml:space="preserve">SUM Jan–Dec</x:t>
        </x:is>
      </x:c>
      <x:c r="D19" s="3" t="inlineStr">
        <x:is>
          <x:t xml:space="preserve">Existing model</x:t>
        </x:is>
      </x:c>
      <x:c r="E19" s="3" t="n"/>
    </x:row>
    <x:row r="20">
      <x:c r="A20" s="3" t="inlineStr">
        <x:is>
          <x:t xml:space="preserve">June–October share</x:t>
        </x:is>
      </x:c>
      <x:c r="B20" s="23" t="n">
        <x:f>SUM(B10:B14)/SUM(B5:B16)</x:f>
        <x:v>0.7164595004549984</x:v>
      </x:c>
      <x:c r="C20" s="3" t="inlineStr">
        <x:is>
          <x:t xml:space="preserve">Jun–Oct / annual</x:t>
        </x:is>
      </x:c>
      <x:c r="D20" s="3" t="inlineStr">
        <x:is>
          <x:t xml:space="preserve">Core earning season</x:t>
        </x:is>
      </x:c>
      <x:c r="E20" s="3" t="n"/>
    </x:row>
    <x:row r="21">
      <x:c r="A21" s="3" t="inlineStr">
        <x:is>
          <x:t xml:space="preserve">July–September share</x:t>
        </x:is>
      </x:c>
      <x:c r="B21" s="23" t="n">
        <x:f>SUM(B11:B13)/SUM(B5:B16)</x:f>
        <x:v>0.5078731407107305</x:v>
      </x:c>
      <x:c r="C21" s="3" t="inlineStr">
        <x:is>
          <x:t xml:space="preserve">Jul–Sep / annual</x:t>
        </x:is>
      </x:c>
      <x:c r="D21" s="3" t="inlineStr">
        <x:is>
          <x:t xml:space="preserve">Peak concentration</x:t>
        </x:is>
      </x:c>
      <x:c r="E21" s="3" t="n"/>
    </x:row>
    <x:row r="22">
      <x:c r="A22" s="3" t="inlineStr">
        <x:is>
          <x:t xml:space="preserve">August share</x:t>
        </x:is>
      </x:c>
      <x:c r="B22" s="23" t="n">
        <x:f>B12/SUM(B5:B16)</x:f>
        <x:v>0.21427816634015026</x:v>
      </x:c>
      <x:c r="C22" s="3" t="inlineStr">
        <x:is>
          <x:t xml:space="preserve">Aug / annual</x:t>
        </x:is>
      </x:c>
      <x:c r="D22" s="3" t="inlineStr">
        <x:is>
          <x:t xml:space="preserve">Strongest single month</x:t>
        </x:is>
      </x:c>
      <x:c r="E22" s="3" t="n"/>
    </x:row>
    <x:row r="23">
      <x:c r="A23" s="3" t="inlineStr">
        <x:is>
          <x:t xml:space="preserve">August / January</x:t>
        </x:is>
      </x:c>
      <x:c r="B23" s="24" t="n">
        <x:f>B12/B5</x:f>
        <x:v>4.973180647844221</x:v>
      </x:c>
      <x:c r="C23" s="3" t="inlineStr">
        <x:is>
          <x:t xml:space="preserve">Aug / Jan</x:t>
        </x:is>
      </x:c>
      <x:c r="D23" s="3" t="inlineStr">
        <x:is>
          <x:t xml:space="preserve">Seasonality intensity</x:t>
        </x:is>
      </x:c>
      <x:c r="E23" s="3" t="n"/>
    </x:row>
    <x:row r="24">
      <x:c r="A24" s="11" t="n"/>
      <x:c r="B24" s="17"/>
      <x:c r="C24" s="11" t="n"/>
      <x:c r="D24" s="11" t="n"/>
      <x:c r="E24" s="11" t="n"/>
    </x:row>
  </x:sheetData>
  <x:mergeCells>
    <x:mergeCell ref="A2:E2"/>
    <x:mergeCell ref="A1:E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baseColWidth="8" defaultRowHeight="15"/>
  <x:cols>
    <x:col min="1" max="1" width="34" customWidth="1"/>
    <x:col min="2" max="2" width="22" customWidth="1"/>
    <x:col min="3" max="3" width="20" customWidth="1"/>
    <x:col min="4" max="4" width="20" customWidth="1"/>
    <x:col min="5" max="5" width="20" customWidth="1"/>
    <x:col min="6" max="6" width="20" customWidth="1"/>
    <x:col min="7" max="7" width="24" customWidth="1"/>
  </x:cols>
  <x:sheetData>
    <x:row r="1">
      <x:c r="A1" s="19" t="inlineStr">
        <x:is>
          <x:t xml:space="preserve">Operating Cash — Management &amp; Cost Sensitivity</x:t>
        </x:is>
      </x:c>
      <x:c r="B1" s="20" t="n"/>
      <x:c r="C1" s="20" t="n"/>
      <x:c r="D1" s="20" t="n"/>
      <x:c r="E1" s="20" t="n"/>
      <x:c r="F1" s="20" t="n"/>
      <x:c r="G1" s="20" t="n"/>
    </x:row>
    <x:row r="2">
      <x:c r="A2" s="21" t="inlineStr">
        <x:is>
          <x:t xml:space="preserve">All figures derive from the existing investment model.</x:t>
        </x:is>
      </x:c>
      <x:c r="B2" s="20" t="n"/>
      <x:c r="C2" s="20" t="n"/>
      <x:c r="D2" s="20" t="n"/>
      <x:c r="E2" s="20" t="n"/>
      <x:c r="F2" s="20" t="n"/>
      <x:c r="G2" s="20" t="n"/>
    </x:row>
    <x:row r="3">
      <x:c r="A3" s="3" t="n"/>
      <x:c r="B3" s="3" t="n"/>
      <x:c r="C3" s="3" t="n"/>
      <x:c r="D3" s="3" t="n"/>
      <x:c r="E3" s="3" t="n"/>
      <x:c r="F3" s="3" t="n"/>
      <x:c r="G3" s="3" t="n"/>
    </x:row>
    <x:row r="4">
      <x:c r="A4" s="4" t="inlineStr">
        <x:is>
          <x:t xml:space="preserve">Operating model</x:t>
        </x:is>
      </x:c>
      <x:c r="B4" s="4" t="inlineStr">
        <x:is>
          <x:t xml:space="preserve">Linear net cash</x:t>
        </x:is>
      </x:c>
      <x:c r="C4" s="4" t="inlineStr">
        <x:is>
          <x:t xml:space="preserve">After low fixed</x:t>
        </x:is>
      </x:c>
      <x:c r="D4" s="4" t="inlineStr">
        <x:is>
          <x:t xml:space="preserve">After base fixed</x:t>
        </x:is>
      </x:c>
      <x:c r="E4" s="4" t="inlineStr">
        <x:is>
          <x:t xml:space="preserve">After high fixed</x:t>
        </x:is>
      </x:c>
      <x:c r="F4" s="4" t="inlineStr">
        <x:is>
          <x:t xml:space="preserve">Base cash yield</x:t>
        </x:is>
      </x:c>
      <x:c r="G4" s="3" t="n"/>
    </x:row>
    <x:row r="5">
      <x:c r="A5" s="3" t="inlineStr">
        <x:is>
          <x:t xml:space="preserve">Self-managed / 3% platform</x:t>
        </x:is>
      </x:c>
      <x:c r="B5" s="7" t="n">
        <x:v>62031.19830478579</x:v>
      </x:c>
      <x:c r="C5" s="7" t="n">
        <x:v>50181.19830478579</x:v>
      </x:c>
      <x:c r="D5" s="7" t="n">
        <x:v>43981.19830478579</x:v>
      </x:c>
      <x:c r="E5" s="7" t="n">
        <x:v>34431.19830478579</x:v>
      </x:c>
      <x:c r="F5" s="5" t="n">
        <x:v>0.07093741662062224</x:v>
      </x:c>
      <x:c r="G5" s="3" t="n"/>
    </x:row>
    <x:row r="6">
      <x:c r="A6" s="3" t="inlineStr">
        <x:is>
          <x:t xml:space="preserve">Self-managed / 15.5% platform</x:t>
        </x:is>
      </x:c>
      <x:c r="B6" s="7" t="n">
        <x:v>51110.21268774604</x:v>
      </x:c>
      <x:c r="C6" s="7" t="n">
        <x:v>39260.21268774604</x:v>
      </x:c>
      <x:c r="D6" s="7" t="n">
        <x:v>33060.21268774604</x:v>
      </x:c>
      <x:c r="E6" s="7" t="n">
        <x:v>23510.21268774604</x:v>
      </x:c>
      <x:c r="F6" s="5" t="n">
        <x:v>0.05332292368991297</x:v>
      </x:c>
      <x:c r="G6" s="3" t="n"/>
    </x:row>
    <x:row r="7">
      <x:c r="A7" s="3" t="inlineStr">
        <x:is>
          <x:t xml:space="preserve">Light management</x:t>
        </x:is>
      </x:c>
      <x:c r="B7" s="7" t="n">
        <x:v>42103.45742966102</x:v>
      </x:c>
      <x:c r="C7" s="7" t="n">
        <x:v>30253.45742966102</x:v>
      </x:c>
      <x:c r="D7" s="7" t="n">
        <x:v>24053.45742966102</x:v>
      </x:c>
      <x:c r="E7" s="7" t="n">
        <x:v>14503.45742966102</x:v>
      </x:c>
      <x:c r="F7" s="5" t="n">
        <x:v>0.03879589908009842</x:v>
      </x:c>
      <x:c r="G7" s="3" t="n"/>
    </x:row>
    <x:row r="8">
      <x:c r="A8" s="3" t="inlineStr">
        <x:is>
          <x:t xml:space="preserve">Full management</x:t>
        </x:is>
      </x:c>
      <x:c r="B8" s="7" t="n">
        <x:v>30394.67559415049</x:v>
      </x:c>
      <x:c r="C8" s="7" t="n">
        <x:v>18544.67559415049</x:v>
      </x:c>
      <x:c r="D8" s="7" t="n">
        <x:v>12344.67559415049</x:v>
      </x:c>
      <x:c r="E8" s="7" t="n">
        <x:v>2794.675594150489</x:v>
      </x:c>
      <x:c r="F8" s="5" t="n">
        <x:v>0.0199107670873395</x:v>
      </x:c>
      <x:c r="G8" s="3" t="n"/>
    </x:row>
    <x:row r="9">
      <x:c r="A9" s="3" t="inlineStr">
        <x:is>
          <x:t xml:space="preserve">Higher rental-tax case</x:t>
        </x:is>
      </x:c>
      <x:c r="B9" s="7" t="n">
        <x:v>46741.81844093013</x:v>
      </x:c>
      <x:c r="C9" s="7" t="n">
        <x:v>34891.81844093013</x:v>
      </x:c>
      <x:c r="D9" s="7" t="n">
        <x:v>28691.81844093013</x:v>
      </x:c>
      <x:c r="E9" s="7" t="n">
        <x:v>19141.81844093013</x:v>
      </x:c>
      <x:c r="F9" s="5" t="n">
        <x:v>0.04627712651762925</x:v>
      </x:c>
      <x:c r="G9" s="3" t="n"/>
    </x:row>
    <x:row r="10">
      <x:c r="A10" s="3" t="n"/>
      <x:c r="B10" s="3" t="n"/>
      <x:c r="C10" s="3" t="n"/>
      <x:c r="D10" s="3" t="n"/>
      <x:c r="E10" s="3" t="n"/>
      <x:c r="F10" s="3" t="n"/>
      <x:c r="G10" s="3" t="n"/>
    </x:row>
    <x:row r="11">
      <x:c r="A11" s="3" t="n"/>
      <x:c r="B11" s="3" t="n"/>
      <x:c r="C11" s="3" t="n"/>
      <x:c r="D11" s="3" t="n"/>
      <x:c r="E11" s="3" t="n"/>
      <x:c r="F11" s="3" t="n"/>
      <x:c r="G11" s="3" t="n"/>
    </x:row>
    <x:row r="12">
      <x:c r="A12" s="4" t="inlineStr">
        <x:is>
          <x:t xml:space="preserve">Key metric</x:t>
        </x:is>
      </x:c>
      <x:c r="B12" s="4" t="inlineStr">
        <x:is>
          <x:t xml:space="preserve">Value</x:t>
        </x:is>
      </x:c>
      <x:c r="C12" s="4" t="inlineStr">
        <x:is>
          <x:t xml:space="preserve">Meaning</x:t>
        </x:is>
      </x:c>
      <x:c r="D12" s="3" t="n"/>
      <x:c r="E12" s="3" t="n"/>
      <x:c r="F12" s="3" t="n"/>
      <x:c r="G12" s="3" t="n"/>
    </x:row>
    <x:row r="13">
      <x:c r="A13" s="3" t="inlineStr">
        <x:is>
          <x:t xml:space="preserve">Annual gross rent</x:t>
        </x:is>
      </x:c>
      <x:c r="B13" s="7" t="n">
        <x:v>87367.88493631802</x:v>
      </x:c>
      <x:c r="C13" s="3" t="inlineStr">
        <x:is>
          <x:t xml:space="preserve">Probability-weighted gross</x:t>
        </x:is>
      </x:c>
      <x:c r="D13" s="3" t="n"/>
      <x:c r="E13" s="3" t="n"/>
      <x:c r="F13" s="3" t="n"/>
      <x:c r="G13" s="3" t="n"/>
    </x:row>
    <x:row r="14">
      <x:c r="A14" s="3" t="inlineStr">
        <x:is>
          <x:t xml:space="preserve">Base fixed / semi-fixed cost</x:t>
        </x:is>
      </x:c>
      <x:c r="B14" s="7" t="n">
        <x:v>18050</x:v>
      </x:c>
      <x:c r="C14" s="3" t="inlineStr">
        <x:is>
          <x:t xml:space="preserve">Existing cost table</x:t>
        </x:is>
      </x:c>
      <x:c r="D14" s="3" t="n"/>
      <x:c r="E14" s="3" t="n"/>
      <x:c r="F14" s="3" t="n"/>
      <x:c r="G14" s="3" t="n"/>
    </x:row>
    <x:row r="15">
      <x:c r="A15" s="3" t="inlineStr">
        <x:is>
          <x:t xml:space="preserve">Efficient self-managed base cash</x:t>
        </x:is>
      </x:c>
      <x:c r="B15" s="7" t="n">
        <x:v>43981.19830478579</x:v>
      </x:c>
      <x:c r="C15" s="3" t="inlineStr">
        <x:is>
          <x:t xml:space="preserve">After base fixed layer</x:t>
        </x:is>
      </x:c>
      <x:c r="D15" s="3" t="n"/>
      <x:c r="E15" s="3" t="n"/>
      <x:c r="F15" s="3" t="n"/>
      <x:c r="G15" s="3" t="n"/>
    </x:row>
    <x:row r="16">
      <x:c r="A16" s="3" t="inlineStr">
        <x:is>
          <x:t xml:space="preserve">Light-management base cash</x:t>
        </x:is>
      </x:c>
      <x:c r="B16" s="7" t="n">
        <x:v>24053.45742966102</x:v>
      </x:c>
      <x:c r="C16" s="3" t="inlineStr">
        <x:is>
          <x:t xml:space="preserve">After base fixed layer</x:t>
        </x:is>
      </x:c>
      <x:c r="D16" s="3" t="n"/>
      <x:c r="E16" s="3" t="n"/>
      <x:c r="F16" s="3" t="n"/>
      <x:c r="G16" s="3" t="n"/>
    </x:row>
    <x:row r="17">
      <x:c r="A17" s="3" t="inlineStr">
        <x:is>
          <x:t xml:space="preserve">Full-management base cash</x:t>
        </x:is>
      </x:c>
      <x:c r="B17" s="7" t="n">
        <x:v>12344.67559415049</x:v>
      </x:c>
      <x:c r="C17" s="3" t="inlineStr">
        <x:is>
          <x:t xml:space="preserve">After base fixed layer</x:t>
        </x:is>
      </x:c>
      <x:c r="D17" s="3" t="n"/>
      <x:c r="E17" s="3" t="n"/>
      <x:c r="F17" s="3" t="n"/>
      <x:c r="G17" s="3" t="n"/>
    </x:row>
    <x:row r="18">
      <x:c r="A18" s="3" t="inlineStr">
        <x:is>
          <x:t xml:space="preserve">Management spread before fixed</x:t>
        </x:is>
      </x:c>
      <x:c r="B18" s="7" t="n">
        <x:v>31636.5227106353</x:v>
      </x:c>
      <x:c r="C18" s="3" t="inlineStr">
        <x:is>
          <x:t xml:space="preserve">Efficient vs full management</x:t>
        </x:is>
      </x:c>
      <x:c r="D18" s="3" t="n"/>
      <x:c r="E18" s="3" t="n"/>
      <x:c r="F18" s="3" t="n"/>
      <x:c r="G18" s="3" t="n"/>
    </x:row>
  </x:sheetData>
  <x:mergeCells>
    <x:mergeCell ref="A2:G2"/>
    <x:mergeCell ref="A1:G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baseColWidth="8" defaultRowHeight="15"/>
  <x:cols>
    <x:col min="1" max="1" width="38" customWidth="1"/>
    <x:col min="2" max="2" width="22" customWidth="1"/>
    <x:col min="3" max="3" width="34" customWidth="1"/>
    <x:col min="4" max="4" width="36" customWidth="1"/>
    <x:col min="5" max="5" width="16" customWidth="1"/>
    <x:col min="6" max="6" width="28" customWidth="1"/>
  </x:cols>
  <x:sheetData>
    <x:row r="1">
      <x:c r="A1" s="19" t="inlineStr">
        <x:is>
          <x:t xml:space="preserve">Hold / Sell — Capital Allocation Evidence</x:t>
        </x:is>
      </x:c>
      <x:c r="B1" s="20" t="n"/>
      <x:c r="C1" s="20" t="n"/>
      <x:c r="D1" s="20" t="n"/>
      <x:c r="E1" s="20" t="n"/>
      <x:c r="F1" s="20" t="n"/>
    </x:row>
    <x:row r="2">
      <x:c r="A2" s="21" t="inlineStr">
        <x:is>
          <x:t xml:space="preserve">No alternative investment return is invented; the property-side hurdle rates are derived from existing cash flows.</x:t>
        </x:is>
      </x:c>
      <x:c r="B2" s="20" t="n"/>
      <x:c r="C2" s="20" t="n"/>
      <x:c r="D2" s="20" t="n"/>
      <x:c r="E2" s="20" t="n"/>
      <x:c r="F2" s="20" t="n"/>
    </x:row>
    <x:row r="3">
      <x:c r="A3" s="3" t="n"/>
      <x:c r="B3" s="3" t="n"/>
      <x:c r="C3" s="3" t="n"/>
      <x:c r="D3" s="3" t="n"/>
      <x:c r="E3" s="3" t="n"/>
      <x:c r="F3" s="3" t="n"/>
    </x:row>
    <x:row r="4">
      <x:c r="A4" s="4" t="inlineStr">
        <x:is>
          <x:t xml:space="preserve">Metric</x:t>
        </x:is>
      </x:c>
      <x:c r="B4" s="4" t="inlineStr">
        <x:is>
          <x:t xml:space="preserve">Result</x:t>
        </x:is>
      </x:c>
      <x:c r="C4" s="4" t="inlineStr">
        <x:is>
          <x:t xml:space="preserve">Formula / basis</x:t>
        </x:is>
      </x:c>
      <x:c r="D4" s="4" t="inlineStr">
        <x:is>
          <x:t xml:space="preserve">Meaning</x:t>
        </x:is>
      </x:c>
      <x:c r="E4" s="4" t="inlineStr">
        <x:is>
          <x:t xml:space="preserve">Status</x:t>
        </x:is>
      </x:c>
      <x:c r="F4" s="4" t="inlineStr">
        <x:is>
          <x:t xml:space="preserve">Source</x:t>
        </x:is>
      </x:c>
    </x:row>
    <x:row r="5">
      <x:c r="A5" s="3" t="inlineStr">
        <x:is>
          <x:t xml:space="preserve">Current capital value</x:t>
        </x:is>
      </x:c>
      <x:c r="B5" s="7" t="n">
        <x:v>620000</x:v>
      </x:c>
      <x:c r="C5" s="3" t="str">
        <x:v>Current subject-villa anchor</x:v>
      </x:c>
      <x:c r="D5" s="3" t="inlineStr">
        <x:is>
          <x:t xml:space="preserve">Capital tied up today</x:t>
        </x:is>
      </x:c>
      <x:c r="E5" s="3" t="inlineStr">
        <x:is>
          <x:t xml:space="preserve">Known</x:t>
        </x:is>
      </x:c>
      <x:c r="F5" s="3" t="inlineStr">
        <x:is>
          <x:t xml:space="preserve">05_买入价与口径</x:t>
        </x:is>
      </x:c>
    </x:row>
    <x:row r="6">
      <x:c r="A6" s="3" t="inlineStr">
        <x:is>
          <x:t xml:space="preserve">Annual gross rent</x:t>
        </x:is>
      </x:c>
      <x:c r="B6" s="7" t="n">
        <x:v>87367.88493631802</x:v>
      </x:c>
      <x:c r="C6" s="3" t="inlineStr">
        <x:is>
          <x:t xml:space="preserve">12-month probability-weighted</x:t>
        </x:is>
      </x:c>
      <x:c r="D6" s="3" t="inlineStr">
        <x:is>
          <x:t xml:space="preserve">Rental capacity</x:t>
        </x:is>
      </x:c>
      <x:c r="E6" s="3" t="inlineStr">
        <x:is>
          <x:t xml:space="preserve">Known</x:t>
        </x:is>
      </x:c>
      <x:c r="F6" s="3" t="inlineStr">
        <x:is>
          <x:t xml:space="preserve">07_优选排收益</x:t>
        </x:is>
      </x:c>
    </x:row>
    <x:row r="7">
      <x:c r="A7" s="3" t="inlineStr">
        <x:is>
          <x:t xml:space="preserve">Base fixed costs</x:t>
        </x:is>
      </x:c>
      <x:c r="B7" s="7" t="n">
        <x:v>18050</x:v>
      </x:c>
      <x:c r="C7" s="3" t="inlineStr">
        <x:is>
          <x:t xml:space="preserve">Existing cost model</x:t>
        </x:is>
      </x:c>
      <x:c r="D7" s="3" t="inlineStr">
        <x:is>
          <x:t xml:space="preserve">Non-linear annual burden</x:t>
        </x:is>
      </x:c>
      <x:c r="E7" s="3" t="inlineStr">
        <x:is>
          <x:t xml:space="preserve">Known</x:t>
        </x:is>
      </x:c>
      <x:c r="F7" s="3" t="inlineStr">
        <x:is>
          <x:t xml:space="preserve">08_成本与净ROI</x:t>
        </x:is>
      </x:c>
    </x:row>
    <x:row r="8">
      <x:c r="A8" s="3" t="inlineStr">
        <x:is>
          <x:t xml:space="preserve">Self-managed 3% base cash</x:t>
        </x:is>
      </x:c>
      <x:c r="B8" s="7" t="n">
        <x:v>43981.19830478579</x:v>
      </x:c>
      <x:c r="C8" s="3" t="inlineStr">
        <x:is>
          <x:t xml:space="preserve">Linear net - base fixed</x:t>
        </x:is>
      </x:c>
      <x:c r="D8" s="3" t="inlineStr">
        <x:is>
          <x:t xml:space="preserve">Property cash</x:t>
        </x:is>
      </x:c>
      <x:c r="E8" s="3" t="inlineStr">
        <x:is>
          <x:t xml:space="preserve">Derived</x:t>
        </x:is>
      </x:c>
      <x:c r="F8" s="3" t="inlineStr">
        <x:is>
          <x:t xml:space="preserve">08_成本与净ROI</x:t>
        </x:is>
      </x:c>
    </x:row>
    <x:row r="9">
      <x:c r="A9" s="3" t="inlineStr">
        <x:is>
          <x:t xml:space="preserve">Self-managed 15.5% base cash</x:t>
        </x:is>
      </x:c>
      <x:c r="B9" s="7" t="n">
        <x:v>33060.21268774604</x:v>
      </x:c>
      <x:c r="C9" s="3" t="inlineStr">
        <x:is>
          <x:t xml:space="preserve">Linear net - base fixed</x:t>
        </x:is>
      </x:c>
      <x:c r="D9" s="3" t="inlineStr">
        <x:is>
          <x:t xml:space="preserve">Property cash</x:t>
        </x:is>
      </x:c>
      <x:c r="E9" s="3" t="inlineStr">
        <x:is>
          <x:t xml:space="preserve">Derived</x:t>
        </x:is>
      </x:c>
      <x:c r="F9" s="3" t="inlineStr">
        <x:is>
          <x:t xml:space="preserve">08_成本与净ROI</x:t>
        </x:is>
      </x:c>
    </x:row>
    <x:row r="10">
      <x:c r="A10" s="3" t="inlineStr">
        <x:is>
          <x:t xml:space="preserve">Light management base cash</x:t>
        </x:is>
      </x:c>
      <x:c r="B10" s="7" t="n">
        <x:v>24053.45742966102</x:v>
      </x:c>
      <x:c r="C10" s="3" t="inlineStr">
        <x:is>
          <x:t xml:space="preserve">Linear net - base fixed</x:t>
        </x:is>
      </x:c>
      <x:c r="D10" s="3" t="inlineStr">
        <x:is>
          <x:t xml:space="preserve">Property cash</x:t>
        </x:is>
      </x:c>
      <x:c r="E10" s="3" t="inlineStr">
        <x:is>
          <x:t xml:space="preserve">Derived</x:t>
        </x:is>
      </x:c>
      <x:c r="F10" s="3" t="inlineStr">
        <x:is>
          <x:t xml:space="preserve">08_成本与净ROI</x:t>
        </x:is>
      </x:c>
    </x:row>
    <x:row r="11">
      <x:c r="A11" s="3" t="inlineStr">
        <x:is>
          <x:t xml:space="preserve">Full management base cash</x:t>
        </x:is>
      </x:c>
      <x:c r="B11" s="7" t="n">
        <x:v>12344.67559415049</x:v>
      </x:c>
      <x:c r="C11" s="3" t="inlineStr">
        <x:is>
          <x:t xml:space="preserve">Linear net - base fixed</x:t>
        </x:is>
      </x:c>
      <x:c r="D11" s="3" t="inlineStr">
        <x:is>
          <x:t xml:space="preserve">Property cash</x:t>
        </x:is>
      </x:c>
      <x:c r="E11" s="3" t="inlineStr">
        <x:is>
          <x:t xml:space="preserve">Derived</x:t>
        </x:is>
      </x:c>
      <x:c r="F11" s="3" t="inlineStr">
        <x:is>
          <x:t xml:space="preserve">08_成本与净ROI</x:t>
        </x:is>
      </x:c>
    </x:row>
    <x:row r="12">
      <x:c r="A12" s="3" t="inlineStr">
        <x:is>
          <x:t xml:space="preserve">Self-managed 3% cash yield</x:t>
        </x:is>
      </x:c>
      <x:c r="B12" s="5" t="n">
        <x:v>0.07093741662062224</x:v>
      </x:c>
      <x:c r="C12" s="3" t="inlineStr">
        <x:is>
          <x:t xml:space="preserve">Base cash / €620k</x:t>
        </x:is>
      </x:c>
      <x:c r="D12" s="3" t="inlineStr">
        <x:is>
          <x:t xml:space="preserve">Alternative capital hurdle</x:t>
        </x:is>
      </x:c>
      <x:c r="E12" s="3" t="inlineStr">
        <x:is>
          <x:t xml:space="preserve">Derived</x:t>
        </x:is>
      </x:c>
      <x:c r="F12" s="3" t="inlineStr">
        <x:is>
          <x:t xml:space="preserve">Reference</x:t>
        </x:is>
      </x:c>
    </x:row>
    <x:row r="13">
      <x:c r="A13" s="3" t="inlineStr">
        <x:is>
          <x:t xml:space="preserve">Self-managed 15.5% cash yield</x:t>
        </x:is>
      </x:c>
      <x:c r="B13" s="5" t="n">
        <x:v>0.05332292368991297</x:v>
      </x:c>
      <x:c r="C13" s="3" t="inlineStr">
        <x:is>
          <x:t xml:space="preserve">Base cash / €620k</x:t>
        </x:is>
      </x:c>
      <x:c r="D13" s="3" t="inlineStr">
        <x:is>
          <x:t xml:space="preserve">Alternative capital hurdle</x:t>
        </x:is>
      </x:c>
      <x:c r="E13" s="3" t="inlineStr">
        <x:is>
          <x:t xml:space="preserve">Derived</x:t>
        </x:is>
      </x:c>
      <x:c r="F13" s="3" t="inlineStr">
        <x:is>
          <x:t xml:space="preserve">Reference</x:t>
        </x:is>
      </x:c>
    </x:row>
    <x:row r="14">
      <x:c r="A14" s="3" t="inlineStr">
        <x:is>
          <x:t xml:space="preserve">Light-management cash yield</x:t>
        </x:is>
      </x:c>
      <x:c r="B14" s="5" t="n">
        <x:v>0.03879589908009842</x:v>
      </x:c>
      <x:c r="C14" s="3" t="inlineStr">
        <x:is>
          <x:t xml:space="preserve">Base cash / €620k</x:t>
        </x:is>
      </x:c>
      <x:c r="D14" s="3" t="inlineStr">
        <x:is>
          <x:t xml:space="preserve">Alternative capital hurdle</x:t>
        </x:is>
      </x:c>
      <x:c r="E14" s="3" t="inlineStr">
        <x:is>
          <x:t xml:space="preserve">Derived</x:t>
        </x:is>
      </x:c>
      <x:c r="F14" s="3" t="inlineStr">
        <x:is>
          <x:t xml:space="preserve">Reference</x:t>
        </x:is>
      </x:c>
    </x:row>
    <x:row r="15">
      <x:c r="A15" s="3" t="inlineStr">
        <x:is>
          <x:t xml:space="preserve">Full-management cash yield</x:t>
        </x:is>
      </x:c>
      <x:c r="B15" s="5" t="n">
        <x:v>0.0199107670873395</x:v>
      </x:c>
      <x:c r="C15" s="3" t="inlineStr">
        <x:is>
          <x:t xml:space="preserve">Base cash / €620k</x:t>
        </x:is>
      </x:c>
      <x:c r="D15" s="3" t="inlineStr">
        <x:is>
          <x:t xml:space="preserve">Alternative capital hurdle</x:t>
        </x:is>
      </x:c>
      <x:c r="E15" s="3" t="inlineStr">
        <x:is>
          <x:t xml:space="preserve">Derived</x:t>
        </x:is>
      </x:c>
      <x:c r="F15" s="3" t="inlineStr">
        <x:is>
          <x:t xml:space="preserve">Reference</x:t>
        </x:is>
      </x:c>
    </x:row>
    <x:row r="16">
      <x:c r="A16" s="3" t="n"/>
      <x:c r="B16" s="3" t="n"/>
      <x:c r="C16" s="3" t="n"/>
      <x:c r="D16" s="3" t="n"/>
      <x:c r="E16" s="3" t="n"/>
      <x:c r="F16" s="3" t="n"/>
    </x:row>
    <x:row r="17">
      <x:c r="A17" s="3" t="n"/>
      <x:c r="B17" s="3" t="n"/>
      <x:c r="C17" s="3" t="n"/>
      <x:c r="D17" s="3" t="n"/>
      <x:c r="E17" s="3" t="n"/>
      <x:c r="F17" s="3" t="n"/>
    </x:row>
    <x:row r="18">
      <x:c r="A18" s="4" t="inlineStr">
        <x:is>
          <x:t xml:space="preserve">Sell-side input</x:t>
        </x:is>
      </x:c>
      <x:c r="B18" s="4" t="inlineStr">
        <x:is>
          <x:t xml:space="preserve">Result</x:t>
        </x:is>
      </x:c>
      <x:c r="C18" s="4" t="inlineStr">
        <x:is>
          <x:t xml:space="preserve">Constraint</x:t>
        </x:is>
      </x:c>
      <x:c r="D18" s="3" t="n"/>
      <x:c r="E18" s="3" t="n"/>
      <x:c r="F18" s="3" t="n"/>
    </x:row>
    <x:row r="19">
      <x:c r="A19" s="3" t="inlineStr">
        <x:is>
          <x:t xml:space="preserve">Capital released by sale</x:t>
        </x:is>
      </x:c>
      <x:c r="B19" s="3" t="n">
        <x:v>620000</x:v>
      </x:c>
      <x:c r="C19" s="3" t="inlineStr">
        <x:is>
          <x:t xml:space="preserve">Working market / asking-price anchor</x:t>
        </x:is>
      </x:c>
      <x:c r="D19" s="3" t="inlineStr">
        <x:is>
          <x:t xml:space="preserve">Capital available</x:t>
        </x:is>
      </x:c>
      <x:c r="E19" s="3" t="n"/>
      <x:c r="F19" s="3" t="n"/>
    </x:row>
    <x:row r="20">
      <x:c r="A20" s="3" t="inlineStr">
        <x:is>
          <x:t xml:space="preserve">Alternative investment return</x:t>
        </x:is>
      </x:c>
      <x:c r="B20" s="3" t="inlineStr">
        <x:is>
          <x:t xml:space="preserve">Not supplied</x:t>
        </x:is>
      </x:c>
      <x:c r="C20" s="3" t="inlineStr">
        <x:is>
          <x:t xml:space="preserve">No verified alternative return</x:t>
        </x:is>
      </x:c>
      <x:c r="D20" s="3" t="inlineStr">
        <x:is>
          <x:t xml:space="preserve">Do not invent</x:t>
        </x:is>
      </x:c>
      <x:c r="E20" s="3" t="n"/>
      <x:c r="F20" s="3" t="n"/>
    </x:row>
    <x:row r="21">
      <x:c r="A21" s="3" t="inlineStr">
        <x:is>
          <x:t xml:space="preserve">Sale friction</x:t>
        </x:is>
      </x:c>
      <x:c r="B21" s="3" t="inlineStr">
        <x:is>
          <x:t xml:space="preserve">Not supplied</x:t>
        </x:is>
      </x:c>
      <x:c r="C21" s="3" t="inlineStr">
        <x:is>
          <x:t xml:space="preserve">No verified transaction-specific data</x:t>
        </x:is>
      </x:c>
      <x:c r="D21" s="3" t="inlineStr">
        <x:is>
          <x:t xml:space="preserve">Do not invent</x:t>
        </x:is>
      </x:c>
      <x:c r="E21" s="3" t="n"/>
      <x:c r="F21" s="3" t="n"/>
    </x:row>
    <x:row r="22">
      <x:c r="A22" s="3" t="inlineStr">
        <x:is>
          <x:t xml:space="preserve">Property appreciation</x:t>
        </x:is>
      </x:c>
      <x:c r="B22" s="3" t="inlineStr">
        <x:is>
          <x:t xml:space="preserve">Not supplied</x:t>
        </x:is>
      </x:c>
      <x:c r="C22" s="3" t="inlineStr">
        <x:is>
          <x:t xml:space="preserve">No validated forward model</x:t>
        </x:is>
      </x:c>
      <x:c r="D22" s="3" t="inlineStr">
        <x:is>
          <x:t xml:space="preserve">Do not invent</x:t>
        </x:is>
      </x:c>
      <x:c r="E22" s="3" t="n"/>
      <x:c r="F22" s="3" t="n"/>
    </x:row>
  </x:sheetData>
  <x:mergeCells>
    <x:mergeCell ref="A2:F2"/>
    <x:mergeCell ref="A1:F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baseColWidth="8" defaultRowHeight="15"/>
  <x:cols>
    <x:col min="1" max="1" width="44" customWidth="1"/>
    <x:col min="2" max="2" width="32" customWidth="1"/>
    <x:col min="3" max="3" width="46" customWidth="1"/>
    <x:col min="4" max="4" width="14" customWidth="1"/>
    <x:col min="5" max="5" width="48" customWidth="1"/>
  </x:cols>
  <x:sheetData>
    <x:row r="1">
      <x:c r="A1" s="19" t="inlineStr">
        <x:is>
          <x:t xml:space="preserve">PPT Evidence Traceability</x:t>
        </x:is>
      </x:c>
      <x:c r="B1" s="20" t="n"/>
      <x:c r="C1" s="20" t="n"/>
      <x:c r="D1" s="20" t="n"/>
      <x:c r="E1" s="20" t="n"/>
      <x:c r="F1" s="20" t="n"/>
    </x:row>
    <x:row r="2">
      <x:c r="A2" s="21" t="inlineStr">
        <x:is>
          <x:t xml:space="preserve">Map every important presentation claim to a concrete table.</x:t>
        </x:is>
      </x:c>
      <x:c r="B2" s="20" t="n"/>
      <x:c r="C2" s="20" t="n"/>
      <x:c r="D2" s="20" t="n"/>
      <x:c r="E2" s="20" t="n"/>
      <x:c r="F2" s="20" t="n"/>
    </x:row>
    <x:row r="3">
      <x:c r="A3" s="3" t="n"/>
      <x:c r="B3" s="3" t="n"/>
      <x:c r="C3" s="3" t="n"/>
      <x:c r="D3" s="3" t="n"/>
      <x:c r="E3" s="3" t="n"/>
      <x:c r="F3" s="3" t="n"/>
    </x:row>
    <x:row r="4">
      <x:c r="A4" s="4" t="inlineStr">
        <x:is>
          <x:t xml:space="preserve">PPT claim</x:t>
        </x:is>
      </x:c>
      <x:c r="B4" s="4" t="inlineStr">
        <x:is>
          <x:t xml:space="preserve">Evidence table</x:t>
        </x:is>
      </x:c>
      <x:c r="C4" s="4" t="inlineStr">
        <x:is>
          <x:t xml:space="preserve">Key evidence</x:t>
        </x:is>
      </x:c>
      <x:c r="D4" s="4" t="inlineStr">
        <x:is>
          <x:t xml:space="preserve">Strength</x:t>
        </x:is>
      </x:c>
      <x:c r="E4" s="4" t="inlineStr">
        <x:is>
          <x:t xml:space="preserve">Caveat</x:t>
        </x:is>
      </x:c>
      <x:c r="F4" s="3" t="n"/>
    </x:row>
    <x:row r="5">
      <x:c r="A5" s="3" t="str">
        <x:v>Subject Villa is inside the core market</x:v>
      </x:c>
      <x:c r="B5" s="3" t="inlineStr">
        <x:is>
          <x:t xml:space="preserve">01_MARKET_STATS / 03_PRICE_POSITION</x:t>
        </x:is>
      </x:c>
      <x:c r="C5" s="3" t="str">
        <x:v>Final C2 = 595; subject villa €620k</x:v>
      </x:c>
      <x:c r="D5" s="3" t="inlineStr">
        <x:is>
          <x:t xml:space="preserve">Strong</x:t>
        </x:is>
      </x:c>
      <x:c r="E5" s="3" t="inlineStr">
        <x:is>
          <x:t xml:space="preserve">Asking-price reference</x:t>
        </x:is>
      </x:c>
      <x:c r="F5" s="3" t="n"/>
    </x:row>
    <x:row r="6">
      <x:c r="A6" s="3" t="str">
        <x:v>Subject Villa is lower-half priced</x:v>
      </x:c>
      <x:c r="B6" s="3" t="inlineStr">
        <x:is>
          <x:t xml:space="preserve">03_PRICE_POSITION</x:t>
        </x:is>
      </x:c>
      <x:c r="C6" s="3" t="inlineStr">
        <x:is>
          <x:t xml:space="preserve">Final C2 quartiles + percentile</x:t>
        </x:is>
      </x:c>
      <x:c r="D6" s="3" t="inlineStr">
        <x:is>
          <x:t xml:space="preserve">Strong</x:t>
        </x:is>
      </x:c>
      <x:c r="E6" s="3" t="inlineStr">
        <x:is>
          <x:t xml:space="preserve">Approximate percentile</x:t>
        </x:is>
      </x:c>
      <x:c r="F6" s="3" t="n"/>
    </x:row>
    <x:row r="7">
      <x:c r="A7" s="3" t="str">
        <x:v>Subject Villa has modest unit economics</x:v>
      </x:c>
      <x:c r="B7" s="3" t="inlineStr">
        <x:is>
          <x:t xml:space="preserve">04_UNIT_ECONOMICS</x:t>
        </x:is>
      </x:c>
      <x:c r="C7" s="3" t="inlineStr">
        <x:is>
          <x:t xml:space="preserve">Final C2 €/sqm distribution</x:t>
        </x:is>
      </x:c>
      <x:c r="D7" s="3" t="inlineStr">
        <x:is>
          <x:t xml:space="preserve">Strong</x:t>
        </x:is>
      </x:c>
      <x:c r="E7" s="3" t="inlineStr">
        <x:is>
          <x:t xml:space="preserve">Usable-area subset</x:t>
        </x:is>
      </x:c>
      <x:c r="F7" s="3" t="n"/>
    </x:row>
    <x:row r="8">
      <x:c r="A8" s="3" t="inlineStr">
        <x:is>
          <x:t xml:space="preserve">Final structural hierarchy</x:t>
        </x:is>
      </x:c>
      <x:c r="B8" s="3" t="inlineStr">
        <x:is>
          <x:t xml:space="preserve">02_C2_STRUCTURE</x:t>
        </x:is>
      </x:c>
      <x:c r="C8" s="3" t="inlineStr">
        <x:is>
          <x:t xml:space="preserve">Rerun on final C2: see current ranking</x:t>
        </x:is>
      </x:c>
      <x:c r="D8" s="3" t="inlineStr">
        <x:is>
          <x:t xml:space="preserve">Moderate</x:t>
        </x:is>
      </x:c>
      <x:c r="E8" s="3" t="inlineStr">
        <x:is>
          <x:t xml:space="preserve">Exploratory, not causal</x:t>
        </x:is>
      </x:c>
      <x:c r="F8" s="3" t="n"/>
    </x:row>
    <x:row r="9">
      <x:c r="A9" s="3" t="str">
        <x:v>Local position is universe-sensitive</x:v>
      </x:c>
      <x:c r="B9" s="3" t="inlineStr">
        <x:is>
          <x:t xml:space="preserve">05_LOCAL_COMPARABLES</x:t>
        </x:is>
      </x:c>
      <x:c r="C9" s="3" t="str">
        <x:v>63-row exact-key set includes subject; €700k median</x:v>
      </x:c>
      <x:c r="D9" s="3" t="inlineStr">
        <x:is>
          <x:t xml:space="preserve">Moderate</x:t>
        </x:is>
      </x:c>
      <x:c r="E9" s="3" t="inlineStr">
        <x:is>
          <x:t xml:space="preserve">Local asking-price sample</x:t>
        </x:is>
      </x:c>
      <x:c r="F9" s="3" t="n"/>
    </x:row>
    <x:row r="10">
      <x:c r="A10" s="3" t="inlineStr">
        <x:is>
          <x:t xml:space="preserve">Rental position is above ordinary 3BR</x:t>
        </x:is>
      </x:c>
      <x:c r="B10" s="3" t="inlineStr">
        <x:is>
          <x:t xml:space="preserve">06_RENTAL_EVIDENCE</x:t>
        </x:is>
      </x:c>
      <x:c r="C10" s="3" t="str">
        <x:v>Observed local benchmark vs subject-villa model</x:v>
      </x:c>
      <x:c r="D10" s="3" t="inlineStr">
        <x:is>
          <x:t xml:space="preserve">Moderate</x:t>
        </x:is>
      </x:c>
      <x:c r="E10" s="3" t="inlineStr">
        <x:is>
          <x:t xml:space="preserve">Observed/modelled separated</x:t>
        </x:is>
      </x:c>
      <x:c r="F10" s="3" t="n"/>
    </x:row>
    <x:row r="11">
      <x:c r="A11" s="3" t="inlineStr">
        <x:is>
          <x:t xml:space="preserve">Rental income is highly seasonal</x:t>
        </x:is>
      </x:c>
      <x:c r="B11" s="3" t="inlineStr">
        <x:is>
          <x:t xml:space="preserve">07_RENTAL_SEASONALITY</x:t>
        </x:is>
      </x:c>
      <x:c r="C11" s="3" t="inlineStr">
        <x:is>
          <x:t xml:space="preserve">71.6% Jun–Oct; 50.8% Jul–Sep</x:t>
        </x:is>
      </x:c>
      <x:c r="D11" s="3" t="inlineStr">
        <x:is>
          <x:t xml:space="preserve">Strong</x:t>
        </x:is>
      </x:c>
      <x:c r="E11" s="3" t="inlineStr">
        <x:is>
          <x:t xml:space="preserve">Model-dependent</x:t>
        </x:is>
      </x:c>
      <x:c r="F11" s="3" t="n"/>
    </x:row>
    <x:row r="12">
      <x:c r="A12" s="3" t="inlineStr">
        <x:is>
          <x:t xml:space="preserve">Operating model changes cash materially</x:t>
        </x:is>
      </x:c>
      <x:c r="B12" s="3" t="inlineStr">
        <x:is>
          <x:t xml:space="preserve">08_OPERATING_CASH</x:t>
        </x:is>
      </x:c>
      <x:c r="C12" s="3" t="inlineStr">
        <x:is>
          <x:t xml:space="preserve">€44.0k → €12.3k base cash</x:t>
        </x:is>
      </x:c>
      <x:c r="D12" s="3" t="inlineStr">
        <x:is>
          <x:t xml:space="preserve">Strong</x:t>
        </x:is>
      </x:c>
      <x:c r="E12" s="3" t="inlineStr">
        <x:is>
          <x:t xml:space="preserve">Execution-dependent</x:t>
        </x:is>
      </x:c>
      <x:c r="F12" s="3" t="n"/>
    </x:row>
    <x:row r="13">
      <x:c r="A13" s="3" t="inlineStr">
        <x:is>
          <x:t xml:space="preserve">Hold remains property-side viable</x:t>
        </x:is>
      </x:c>
      <x:c r="B13" s="3" t="inlineStr">
        <x:is>
          <x:t xml:space="preserve">09_HOLD_SELL</x:t>
        </x:is>
      </x:c>
      <x:c r="C13" s="3" t="inlineStr">
        <x:is>
          <x:t xml:space="preserve">Positive base cash under current scenarios</x:t>
        </x:is>
      </x:c>
      <x:c r="D13" s="3" t="inlineStr">
        <x:is>
          <x:t xml:space="preserve">Moderate</x:t>
        </x:is>
      </x:c>
      <x:c r="E13" s="3" t="inlineStr">
        <x:is>
          <x:t xml:space="preserve">No alternative capital return</x:t>
        </x:is>
      </x:c>
      <x:c r="F13" s="3" t="n"/>
    </x:row>
    <x:row r="14">
      <x:c r="A14" s="11" t="n"/>
      <x:c r="B14" s="11" t="n"/>
      <x:c r="C14" s="11" t="n"/>
      <x:c r="D14" s="11" t="n"/>
      <x:c r="E14" s="11" t="n"/>
      <x:c r="F14" s="11" t="n"/>
    </x:row>
  </x:sheetData>
  <x:mergeCells>
    <x:mergeCell ref="A2:F2"/>
    <x:mergeCell ref="A1:F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8" customWidth="1"/>
    <x:col min="2" max="2" width="24" customWidth="1"/>
    <x:col min="3" max="3" width="24" customWidth="1"/>
    <x:col min="4" max="4" width="60" customWidth="1"/>
    <x:col min="5" max="5" width="44" customWidth="1"/>
  </x:cols>
  <x:sheetData>
    <x:row r="1">
      <x:c r="A1" s="18" t="inlineStr">
        <x:is>
          <x:t xml:space="preserve">Conflict / Version</x:t>
        </x:is>
      </x:c>
      <x:c r="B1" s="18" t="inlineStr">
        <x:is>
          <x:t xml:space="preserve">Superseded result</x:t>
        </x:is>
      </x:c>
      <x:c r="C1" s="18" t="inlineStr">
        <x:is>
          <x:t xml:space="preserve">Final result</x:t>
        </x:is>
      </x:c>
      <x:c r="D1" s="18" t="inlineStr">
        <x:is>
          <x:t xml:space="preserve">Why final result is preferred</x:t>
        </x:is>
      </x:c>
      <x:c r="E1" s="18" t="inlineStr">
        <x:is>
          <x:t xml:space="preserve">PPT rule</x:t>
        </x:is>
      </x:c>
    </x:row>
    <x:row r="2">
      <x:c r="A2" s="11" t="inlineStr">
        <x:is>
          <x:t xml:space="preserve">C2 size</x:t>
        </x:is>
      </x:c>
      <x:c r="B2" s="11" t="n">
        <x:v>462</x:v>
      </x:c>
      <x:c r="C2" s="11" t="n">
        <x:v>595</x:v>
      </x:c>
      <x:c r="D2" s="11" t="inlineStr">
        <x:is>
          <x:t xml:space="preserve">Final C2 = 462 mechanical price-band observations + 133 scope-safe reassignments.</x:t>
        </x:is>
      </x:c>
      <x:c r="E2" s="11" t="inlineStr">
        <x:is>
          <x:t xml:space="preserve">Use 595 in final report.</x:t>
        </x:is>
      </x:c>
    </x:row>
    <x:row r="3">
      <x:c r="A3" s="11" t="inlineStr">
        <x:is>
          <x:t xml:space="preserve">C2 price median</x:t>
        </x:is>
      </x:c>
      <x:c r="B3" s="11" t="inlineStr">
        <x:is>
          <x:t xml:space="preserve">€890k raw mechanical</x:t>
        </x:is>
      </x:c>
      <x:c r="C3" s="11" t="inlineStr">
        <x:is>
          <x:t xml:space="preserve">€1,200,000</x:t>
        </x:is>
      </x:c>
      <x:c r="D3" s="11" t="inlineStr">
        <x:is>
          <x:t xml:space="preserve">Final calibrated C2 includes the 133 scope-safe reassignments.</x:t>
        </x:is>
      </x:c>
      <x:c r="E3" s="11" t="inlineStr">
        <x:is>
          <x:t xml:space="preserve">Use calibrated median only.</x:t>
        </x:is>
      </x:c>
    </x:row>
    <x:row r="4">
      <x:c r="A4" s="11" t="inlineStr">
        <x:is>
          <x:t xml:space="preserve">Local median</x:t>
        </x:is>
      </x:c>
      <x:c r="B4" s="11" t="inlineStr">
        <x:is>
          <x:t xml:space="preserve">€635k raw / €725k prior subset</x:t>
        </x:is>
      </x:c>
      <x:c r="C4" s="11" t="inlineStr">
        <x:is>
          <x:t xml:space="preserve">€700,000</x:t>
        </x:is>
      </x:c>
      <x:c r="D4" s="11" t="inlineStr">
        <x:is>
          <x:t xml:space="preserve">Unique-key cleaned local comparable pool.</x:t>
        </x:is>
      </x:c>
      <x:c r="E4" s="11" t="inlineStr">
        <x:is>
          <x:t xml:space="preserve">Use €700k only.</x:t>
        </x:is>
      </x:c>
    </x:row>
    <x:row r="5">
      <x:c r="A5" s="11" t="inlineStr">
        <x:is>
          <x:t xml:space="preserve">C3 scope</x:t>
        </x:is>
      </x:c>
      <x:c r="B5" s="11" t="inlineStr">
        <x:is>
          <x:t xml:space="preserve">75 retained incl. 6 out-of-scope</x:t>
        </x:is>
      </x:c>
      <x:c r="C5" s="11" t="inlineStr">
        <x:is>
          <x:t xml:space="preserve">69 scope-safe retained</x:t>
        </x:is>
      </x:c>
      <x:c r="D5" s="11" t="inlineStr">
        <x:is>
          <x:t xml:space="preserve">Explicitly out-of-scope retained rows removed.</x:t>
        </x:is>
      </x:c>
      <x:c r="E5" s="11" t="inlineStr">
        <x:is>
          <x:t xml:space="preserve">Use 69.</x:t>
        </x:is>
      </x:c>
    </x:row>
    <x:row r="6">
      <x:c r="A6" s="11" t="inlineStr">
        <x:is>
          <x:t xml:space="preserve">Full-management base cash</x:t>
        </x:is>
      </x:c>
      <x:c r="B6" s="11" t="inlineStr">
        <x:is>
          <x:t xml:space="preserve">−€1.3k old PPT</x:t>
        </x:is>
      </x:c>
      <x:c r="C6" s="11" t="inlineStr">
        <x:is>
          <x:t xml:space="preserve">€12.3k</x:t>
        </x:is>
      </x:c>
      <x:c r="D6" s="11" t="inlineStr">
        <x:is>
          <x:t xml:space="preserve">Linear net €30.4k minus base fixed €18.05k.</x:t>
        </x:is>
      </x:c>
      <x:c r="E6" s="11" t="inlineStr">
        <x:is>
          <x:t xml:space="preserve">Use €12.3k.</x:t>
        </x:is>
      </x:c>
    </x:row>
    <x:row r="7">
      <x:c r="A7" s="11" t="inlineStr">
        <x:is>
          <x:t xml:space="preserve">C1-C4 closure</x:t>
        </x:is>
      </x:c>
      <x:c r="B7" s="11" t="inlineStr">
        <x:is>
          <x:t xml:space="preserve">Implied 100%</x:t>
        </x:is>
      </x:c>
      <x:c r="C7" s="11" t="inlineStr">
        <x:is>
          <x:t xml:space="preserve">9 unresolved / other</x:t>
        </x:is>
      </x:c>
      <x:c r="D7" s="11" t="inlineStr">
        <x:is>
          <x:t xml:space="preserve">Residual observations are not forced into a category.</x:t>
        </x:is>
      </x:c>
      <x:c r="E7" s="11" t="inlineStr">
        <x:is>
          <x:t xml:space="preserve">Do not show a forced 100% split.</x:t>
        </x:is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38" customWidth="1"/>
    <x:col min="2" max="2" width="20" customWidth="1"/>
    <x:col min="3" max="3" width="50" customWidth="1"/>
  </x:cols>
  <x:sheetData>
    <x:row r="1">
      <x:c r="A1" s="18" t="inlineStr">
        <x:is>
          <x:t xml:space="preserve">Final control item</x:t>
        </x:is>
      </x:c>
      <x:c r="B1" s="18" t="inlineStr">
        <x:is>
          <x:t xml:space="preserve">Final value</x:t>
        </x:is>
      </x:c>
      <x:c r="C1" s="18" t="inlineStr">
        <x:is>
          <x:t xml:space="preserve">Rule</x:t>
        </x:is>
      </x:c>
    </x:row>
    <x:row r="2">
      <x:c r="A2" s="11" t="inlineStr">
        <x:is>
          <x:t xml:space="preserve">C2 final analytical pool</x:t>
        </x:is>
      </x:c>
      <x:c r="B2" s="11" t="n">
        <x:v>595</x:v>
      </x:c>
      <x:c r="C2" s="11" t="inlineStr">
        <x:is>
          <x:t xml:space="preserve">Use only this in final PPT</x:t>
        </x:is>
      </x:c>
    </x:row>
    <x:row r="3">
      <x:c r="A3" s="11" t="inlineStr">
        <x:is>
          <x:t xml:space="preserve">C2 price Q1</x:t>
        </x:is>
      </x:c>
      <x:c r="B3" s="11" t="n">
        <x:v>633000</x:v>
      </x:c>
      <x:c r="C3" s="11" t="inlineStr">
        <x:is>
          <x:t xml:space="preserve">Final calibrated C2</x:t>
        </x:is>
      </x:c>
    </x:row>
    <x:row r="4">
      <x:c r="A4" s="11" t="inlineStr">
        <x:is>
          <x:t xml:space="preserve">C2 price median</x:t>
        </x:is>
      </x:c>
      <x:c r="B4" s="11" t="n">
        <x:v>1200000</x:v>
      </x:c>
      <x:c r="C4" s="11" t="inlineStr">
        <x:is>
          <x:t xml:space="preserve">Final calibrated C2</x:t>
        </x:is>
      </x:c>
    </x:row>
    <x:row r="5">
      <x:c r="A5" s="11" t="inlineStr">
        <x:is>
          <x:t xml:space="preserve">C2 price Q3</x:t>
        </x:is>
      </x:c>
      <x:c r="B5" s="11" t="n">
        <x:v>1950000</x:v>
      </x:c>
      <x:c r="C5" s="11" t="inlineStr">
        <x:is>
          <x:t xml:space="preserve">Final calibrated C2</x:t>
        </x:is>
      </x:c>
    </x:row>
    <x:row r="6">
      <x:c r="A6" s="11" t="str">
        <x:v>Subject Villa C2 price percentile</x:v>
      </x:c>
      <x:c r="B6" s="11" t="n">
        <x:v>0.2453781512605042</x:v>
      </x:c>
      <x:c r="C6" s="11" t="inlineStr">
        <x:is>
          <x:t xml:space="preserve">Final calibrated C2</x:t>
        </x:is>
      </x:c>
    </x:row>
    <x:row r="7">
      <x:c r="A7" s="11" t="inlineStr">
        <x:is>
          <x:t xml:space="preserve">C2 area Q1</x:t>
        </x:is>
      </x:c>
      <x:c r="B7" s="11" t="n">
        <x:v>100</x:v>
      </x:c>
      <x:c r="C7" s="11" t="inlineStr">
        <x:is>
          <x:t xml:space="preserve">Final calibrated C2, usable area</x:t>
        </x:is>
      </x:c>
    </x:row>
    <x:row r="8">
      <x:c r="A8" s="11" t="inlineStr">
        <x:is>
          <x:t xml:space="preserve">C2 area median</x:t>
        </x:is>
      </x:c>
      <x:c r="B8" s="11" t="n">
        <x:v>147.5</x:v>
      </x:c>
      <x:c r="C8" s="11" t="inlineStr">
        <x:is>
          <x:t xml:space="preserve">Final calibrated C2, usable area</x:t>
        </x:is>
      </x:c>
    </x:row>
    <x:row r="9">
      <x:c r="A9" s="11" t="inlineStr">
        <x:is>
          <x:t xml:space="preserve">C2 €/sqm Q1</x:t>
        </x:is>
      </x:c>
      <x:c r="B9" s="11" t="n">
        <x:v>4333.333333333333</x:v>
      </x:c>
      <x:c r="C9" s="11" t="inlineStr">
        <x:is>
          <x:t xml:space="preserve">Final calibrated C2, usable area</x:t>
        </x:is>
      </x:c>
    </x:row>
    <x:row r="10">
      <x:c r="A10" s="11" t="inlineStr">
        <x:is>
          <x:t xml:space="preserve">C2 €/sqm median</x:t>
        </x:is>
      </x:c>
      <x:c r="B10" s="11" t="n">
        <x:v>5508.043217286915</x:v>
      </x:c>
      <x:c r="C10" s="11" t="inlineStr">
        <x:is>
          <x:t xml:space="preserve">Final calibrated C2, usable area</x:t>
        </x:is>
      </x:c>
    </x:row>
    <x:row r="11">
      <x:c r="A11" s="11" t="inlineStr">
        <x:is>
          <x:t xml:space="preserve">C2 €/sqm Q3</x:t>
        </x:is>
      </x:c>
      <x:c r="B11" s="11" t="n">
        <x:v>6906.927710843373</x:v>
      </x:c>
      <x:c r="C11" s="11" t="inlineStr">
        <x:is>
          <x:t xml:space="preserve">Final calibrated C2, usable area</x:t>
        </x:is>
      </x:c>
    </x:row>
    <x:row r="12">
      <x:c r="A12" s="11" t="inlineStr">
        <x:is>
          <x:t xml:space="preserve">C2 €/sqm P90</x:t>
        </x:is>
      </x:c>
      <x:c r="B12" s="11" t="n">
        <x:v>9385.093167701863</x:v>
      </x:c>
      <x:c r="C12" s="11" t="inlineStr">
        <x:is>
          <x:t xml:space="preserve">Final calibrated C2, usable area</x:t>
        </x:is>
      </x:c>
    </x:row>
    <x:row r="13">
      <x:c r="A13" s="11" t="str">
        <x:v>Subject Villa €/sqm percentile</x:v>
      </x:c>
      <x:c r="B13" s="11" t="n">
        <x:v>0.37</x:v>
      </x:c>
      <x:c r="C13" s="11" t="inlineStr">
        <x:is>
          <x:t xml:space="preserve">Final calibrated C2, usable area</x:t>
        </x:is>
      </x:c>
    </x:row>
    <x:row r="14">
      <x:c r="A14" s="11" t="str">
        <x:v>Selected local universe N (subject included)</x:v>
      </x:c>
      <x:c r="B14" s="11" t="n">
        <x:v>63</x:v>
      </x:c>
      <x:c r="C14" s="11" t="inlineStr">
        <x:is>
          <x:t xml:space="preserve">Exact-key cleaned local pool</x:t>
        </x:is>
      </x:c>
    </x:row>
    <x:row r="15">
      <x:c r="A15" s="11" t="inlineStr">
        <x:is>
          <x:t xml:space="preserve">Local median</x:t>
        </x:is>
      </x:c>
      <x:c r="B15" s="11" t="n">
        <x:v>700000</x:v>
      </x:c>
      <x:c r="C15" s="11" t="inlineStr">
        <x:is>
          <x:t xml:space="preserve">Use only this in final PPT</x:t>
        </x:is>
      </x:c>
    </x:row>
    <x:row r="16">
      <x:c r="A16" s="11" t="str">
        <x:v>Subject Villa gap to selected local median</x:v>
      </x:c>
      <x:c r="B16" s="11" t="n">
        <x:v>-0.1142857142857143</x:v>
      </x:c>
      <x:c r="C16" s="11" t="inlineStr">
        <x:is>
          <x:t xml:space="preserve">620k / 700k - 1</x:t>
        </x:is>
      </x:c>
    </x:row>
    <x:row r="17">
      <x:c r="A17" s="11" t="inlineStr">
        <x:is>
          <x:t xml:space="preserve">C1</x:t>
        </x:is>
      </x:c>
      <x:c r="B17" s="11" t="n">
        <x:v>11</x:v>
      </x:c>
      <x:c r="C17" s="11" t="inlineStr">
        <x:is>
          <x:t xml:space="preserve">Final scope-safe working classification</x:t>
        </x:is>
      </x:c>
    </x:row>
    <x:row r="18">
      <x:c r="A18" s="11" t="inlineStr">
        <x:is>
          <x:t xml:space="preserve">C2</x:t>
        </x:is>
      </x:c>
      <x:c r="B18" s="11" t="n">
        <x:v>595</x:v>
      </x:c>
      <x:c r="C18" s="11" t="inlineStr">
        <x:is>
          <x:t xml:space="preserve">Final scope-safe working classification</x:t>
        </x:is>
      </x:c>
    </x:row>
    <x:row r="19">
      <x:c r="A19" s="11" t="inlineStr">
        <x:is>
          <x:t xml:space="preserve">C3</x:t>
        </x:is>
      </x:c>
      <x:c r="B19" s="11" t="n">
        <x:v>69</x:v>
      </x:c>
      <x:c r="C19" s="11" t="inlineStr">
        <x:is>
          <x:t xml:space="preserve">Final scope-safe working classification</x:t>
        </x:is>
      </x:c>
    </x:row>
    <x:row r="20">
      <x:c r="A20" s="11" t="inlineStr">
        <x:is>
          <x:t xml:space="preserve">C4</x:t>
        </x:is>
      </x:c>
      <x:c r="B20" s="11" t="n">
        <x:v>31</x:v>
      </x:c>
      <x:c r="C20" s="11" t="inlineStr">
        <x:is>
          <x:t xml:space="preserve">Final scope-safe working classification</x:t>
        </x:is>
      </x:c>
    </x:row>
    <x:row r="21">
      <x:c r="A21" s="11" t="inlineStr">
        <x:is>
          <x:t xml:space="preserve">Unresolved / other</x:t>
        </x:is>
      </x:c>
      <x:c r="B21" s="11" t="n">
        <x:v>9</x:v>
      </x:c>
      <x:c r="C21" s="11" t="inlineStr">
        <x:is>
          <x:t xml:space="preserve">Do not force into C1-C4</x:t>
        </x:is>
      </x:c>
    </x:row>
    <x:row r="22">
      <x:c r="A22" s="11" t="inlineStr">
        <x:is>
          <x:t xml:space="preserve">Full management base annual cash</x:t>
        </x:is>
      </x:c>
      <x:c r="B22" s="11" t="n">
        <x:v>12344.68</x:v>
      </x:c>
      <x:c r="C22" s="11" t="inlineStr">
        <x:is>
          <x:t xml:space="preserve">Corrected from old PPT</x:t>
        </x:is>
      </x:c>
    </x:row>
    <x:row r="23">
      <x:c r="A23" s="11" t="inlineStr">
        <x:is>
          <x:t xml:space="preserve">Light management base annual cash</x:t>
        </x:is>
      </x:c>
      <x:c r="B23" s="11" t="n">
        <x:v>24053.46</x:v>
      </x:c>
      <x:c r="C23" s="11" t="inlineStr">
        <x:is>
          <x:t xml:space="preserve">Existing model after base fixed costs</x:t>
        </x:is>
      </x:c>
    </x:row>
    <x:row r="24">
      <x:c r="A24" s="11" t="inlineStr">
        <x:is>
          <x:t xml:space="preserve">Efficient self-managed base annual cash</x:t>
        </x:is>
      </x:c>
      <x:c r="B24" s="11" t="n">
        <x:v>43981.2</x:v>
      </x:c>
      <x:c r="C24" s="11" t="inlineStr">
        <x:is>
          <x:t xml:space="preserve">Existing model after base fixed costs</x:t>
        </x:is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baseColWidth="8" defaultRowHeight="15"/>
  <x:cols>
    <x:col min="1" max="1" width="34" customWidth="1"/>
    <x:col min="2" max="2" width="24" customWidth="1"/>
    <x:col min="3" max="3" width="12" customWidth="1"/>
    <x:col min="4" max="4" width="60" customWidth="1"/>
  </x:cols>
  <x:sheetData>
    <x:row r="1">
      <x:c r="A1" s="18" t="inlineStr">
        <x:is>
          <x:t xml:space="preserve">Validation</x:t>
        </x:is>
      </x:c>
      <x:c r="B1" s="18" t="inlineStr">
        <x:is>
          <x:t xml:space="preserve">Result</x:t>
        </x:is>
      </x:c>
      <x:c r="C1" s="18" t="inlineStr">
        <x:is>
          <x:t xml:space="preserve">Status</x:t>
        </x:is>
      </x:c>
      <x:c r="D1" s="18" t="inlineStr">
        <x:is>
          <x:t xml:space="preserve">Notes</x:t>
        </x:is>
      </x:c>
    </x:row>
    <x:row r="2">
      <x:c r="A2" s="11" t="inlineStr">
        <x:is>
          <x:t xml:space="preserve">Final C2 N</x:t>
        </x:is>
      </x:c>
      <x:c r="B2" s="11" t="n">
        <x:v>595</x:v>
      </x:c>
      <x:c r="C2" s="11" t="inlineStr">
        <x:is>
          <x:t xml:space="preserve">PASS</x:t>
        </x:is>
      </x:c>
      <x:c r="D2" s="11" t="inlineStr">
        <x:is>
          <x:t xml:space="preserve">Matches chosen final scope-safe analytical pool.</x:t>
        </x:is>
      </x:c>
    </x:row>
    <x:row r="3">
      <x:c r="A3" s="11" t="inlineStr">
        <x:is>
          <x:t xml:space="preserve">Final C2 median</x:t>
        </x:is>
      </x:c>
      <x:c r="B3" s="11" t="n">
        <x:v>1200000</x:v>
      </x:c>
      <x:c r="C3" s="11" t="inlineStr">
        <x:is>
          <x:t xml:space="preserve">PASS</x:t>
        </x:is>
      </x:c>
      <x:c r="D3" s="11" t="inlineStr">
        <x:is>
          <x:t xml:space="preserve">Single reconciled C2 distribution.</x:t>
        </x:is>
      </x:c>
    </x:row>
    <x:row r="4">
      <x:c r="A4" s="11" t="str">
        <x:v>Subject Villa C2 percentile</x:v>
      </x:c>
      <x:c r="B4" s="11" t="n">
        <x:v>0.2453781512605042</x:v>
      </x:c>
      <x:c r="C4" s="11" t="inlineStr">
        <x:is>
          <x:t xml:space="preserve">PASS</x:t>
        </x:is>
      </x:c>
      <x:c r="D4" s="11" t="inlineStr">
        <x:is>
          <x:t xml:space="preserve">Lower-half under final C2.</x:t>
        </x:is>
      </x:c>
    </x:row>
    <x:row r="5">
      <x:c r="A5" s="11" t="inlineStr">
        <x:is>
          <x:t xml:space="preserve">Final C2 usable €/sqm N</x:t>
        </x:is>
      </x:c>
      <x:c r="B5" s="11" t="n">
        <x:v>200</x:v>
      </x:c>
      <x:c r="C5" s="11" t="inlineStr">
        <x:is>
          <x:t xml:space="preserve">PASS</x:t>
        </x:is>
      </x:c>
      <x:c r="D5" s="11" t="inlineStr">
        <x:is>
          <x:t xml:space="preserve">Recomputed after reconciliation.</x:t>
        </x:is>
      </x:c>
    </x:row>
    <x:row r="6">
      <x:c r="A6" s="11" t="str">
        <x:v>Selected local universe N (subject included)</x:v>
      </x:c>
      <x:c r="B6" s="11" t="n">
        <x:v>63</x:v>
      </x:c>
      <x:c r="C6" s="11" t="inlineStr">
        <x:is>
          <x:t xml:space="preserve">PASS</x:t>
        </x:is>
      </x:c>
      <x:c r="D6" s="11" t="inlineStr">
        <x:is>
          <x:t xml:space="preserve">Duplicates removed.</x:t>
        </x:is>
      </x:c>
    </x:row>
    <x:row r="7">
      <x:c r="A7" s="11" t="inlineStr">
        <x:is>
          <x:t xml:space="preserve">Final local median</x:t>
        </x:is>
      </x:c>
      <x:c r="B7" s="11" t="n">
        <x:v>700000</x:v>
      </x:c>
      <x:c r="C7" s="11" t="inlineStr">
        <x:is>
          <x:t xml:space="preserve">PASS</x:t>
        </x:is>
      </x:c>
      <x:c r="D7" s="11" t="inlineStr">
        <x:is>
          <x:t xml:space="preserve">Single local reference.</x:t>
        </x:is>
      </x:c>
    </x:row>
    <x:row r="8">
      <x:c r="A8" s="11" t="inlineStr">
        <x:is>
          <x:t xml:space="preserve">Structural model</x:t>
        </x:is>
      </x:c>
      <x:c r="B8" s="11" t="inlineStr">
        <x:is>
          <x:t xml:space="preserve">Final 595-C2 rerun</x:t>
        </x:is>
      </x:c>
      <x:c r="C8" s="11" t="inlineStr">
        <x:is>
          <x:t xml:space="preserve">PASS</x:t>
        </x:is>
      </x:c>
      <x:c r="D8" s="11" t="inlineStr">
        <x:is>
          <x:t xml:space="preserve">Final structural screening stored in 02_C2_STRUCTURE.</x:t>
        </x:is>
      </x:c>
    </x:row>
    <x:row r="9">
      <x:c r="A9" s="11" t="inlineStr">
        <x:is>
          <x:t xml:space="preserve">PPT old conflicting values</x:t>
        </x:is>
      </x:c>
      <x:c r="B9" s="11" t="inlineStr">
        <x:is>
          <x:t xml:space="preserve">None found in final deck</x:t>
        </x:is>
      </x:c>
      <x:c r="C9" s="11" t="inlineStr">
        <x:is>
          <x:t xml:space="preserve">PASS</x:t>
        </x:is>
      </x:c>
      <x:c r="D9" s="11" t="inlineStr">
        <x:is>
          <x:t xml:space="preserve">Verified separately.</x:t>
        </x:is>
      </x:c>
    </x:row>
  </x:sheetData>
  <x:pageMargins left="0.7" right="0.7" top="0.75" bottom="0.75" header="0.3" footer="0.3"/>
</x:worksheet>
</file>